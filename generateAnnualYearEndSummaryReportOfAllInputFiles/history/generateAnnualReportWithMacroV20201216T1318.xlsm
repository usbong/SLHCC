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2020\add-on software\generateAnnualYearEndSummaryReportOfAllInputFiles\"/>
    </mc:Choice>
  </mc:AlternateContent>
  <bookViews>
    <workbookView xWindow="0" yWindow="780" windowWidth="15360" windowHeight="4500" activeTab="3"/>
  </bookViews>
  <sheets>
    <sheet name="Gabay" sheetId="24" r:id="rId1"/>
    <sheet name="Input" sheetId="33" r:id="rId2"/>
    <sheet name="Output" sheetId="34" r:id="rId3"/>
    <sheet name="Charts" sheetId="35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5" i="33" l="1"/>
</calcChain>
</file>

<file path=xl/sharedStrings.xml><?xml version="1.0" encoding="utf-8"?>
<sst xmlns="http://schemas.openxmlformats.org/spreadsheetml/2006/main" count="156" uniqueCount="98">
  <si>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</si>
  <si>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</si>
  <si>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</si>
  <si>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</si>
  <si>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</si>
  <si>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</si>
  <si>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</si>
  <si>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</si>
  <si>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</si>
  <si>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</si>
  <si>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</si>
  <si>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</si>
  <si>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</si>
  <si>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</si>
  <si>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</si>
  <si>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</si>
  <si>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</si>
  <si>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</si>
  <si>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</si>
  <si>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</si>
  <si>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</si>
  <si>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</si>
  <si>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</si>
  <si>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</si>
  <si>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</si>
  <si>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</si>
  <si>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</si>
  <si>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</si>
  <si>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</si>
  <si>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</si>
  <si>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</si>
  <si>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I. CONSULTATION</t>
  </si>
  <si>
    <t>II. PT TREATMENT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</si>
  <si>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MARIKINA ORTHOPEDIC SPECIALTY CLINIC HEADQUARTERS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</si>
  <si>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STA. LUCIA HEALTHCARE CENTRE:</t>
    </r>
    <r>
      <rPr>
        <b/>
        <sz val="11"/>
        <color theme="1"/>
        <rFont val="Calibri"/>
        <family val="2"/>
        <scheme val="minor"/>
      </rPr>
      <t xml:space="preserve"> </t>
    </r>
    <r>
      <rPr>
        <sz val="11"/>
        <color theme="1"/>
        <rFont val="Calibri"/>
        <family val="2"/>
        <scheme val="minor"/>
      </rPr>
      <t>ORTHO &amp; PT UNIT</t>
    </r>
  </si>
  <si>
    <t>ANNUAL SUMMARY REPORT</t>
  </si>
  <si>
    <t>Taon ng Report:</t>
  </si>
  <si>
    <t>Kailangan lamang na wasto pagkasusunod ng mga sumunod na hanay bilang data mula sa mga Treatment input worksheet.</t>
  </si>
  <si>
    <t>Annual Year End Summary Report</t>
  </si>
  <si>
    <t>TREATMENT COUNT:</t>
  </si>
  <si>
    <t>CONSULTATION COUNT:</t>
  </si>
  <si>
    <t>PROCEDURE COUNT:</t>
  </si>
  <si>
    <t>MEDICAL CERTIFICATE COUNT:</t>
  </si>
  <si>
    <t>TOTAL:</t>
  </si>
  <si>
    <t>HMO/ASIANLIFE</t>
  </si>
  <si>
    <t>HMO/AVEGA</t>
  </si>
  <si>
    <t>HMO/BLUECROSS</t>
  </si>
  <si>
    <t>HMO/CAREHEALTHPLUS</t>
  </si>
  <si>
    <t>HMO/COCOLIFE</t>
  </si>
  <si>
    <t>HMO/EASTWEST</t>
  </si>
  <si>
    <t>HMO/GENERALIPHIL</t>
  </si>
  <si>
    <t>HMO/GETWELL</t>
  </si>
  <si>
    <t>HMO/HMI</t>
  </si>
  <si>
    <t>HMO/INTELLICARE</t>
  </si>
  <si>
    <t>HMO/LACSON-LACSON</t>
  </si>
  <si>
    <t>HMO/MAXICARE</t>
  </si>
  <si>
    <t>HMO/MEDASIA</t>
  </si>
  <si>
    <t>HMO/MEDICARD</t>
  </si>
  <si>
    <t>HMO/MEDOCARE</t>
  </si>
  <si>
    <t>HMO/PACIFICCROSS</t>
  </si>
  <si>
    <t>HMO/PHILCARE</t>
  </si>
  <si>
    <t>HMO/VALUCARE</t>
  </si>
  <si>
    <t>SLR</t>
  </si>
  <si>
    <t>SLR (C/O 101)</t>
  </si>
  <si>
    <t>SLR (C/O 101) ROBLES,DOMINGA</t>
  </si>
  <si>
    <t>SLR (C/O BILLING) MILLEX CONST</t>
  </si>
  <si>
    <t>SLR (C/O GOODSON'S)</t>
  </si>
  <si>
    <t>SLR (C/O READY MIX)</t>
  </si>
  <si>
    <t>SLR/(C/OMONTECARLO)</t>
  </si>
  <si>
    <t>MEDICAL CERTIFICATE</t>
  </si>
  <si>
    <t>NO CHARGE</t>
  </si>
  <si>
    <t>PWD</t>
  </si>
  <si>
    <t>SC</t>
  </si>
  <si>
    <t>SLC</t>
  </si>
  <si>
    <t>WI</t>
  </si>
  <si>
    <t>WI (C/O 101) DOMINGA, ROBLES</t>
  </si>
  <si>
    <t>WI (C/O MCDO)</t>
  </si>
  <si>
    <t>HMO:</t>
  </si>
  <si>
    <t>NEW PATIENT REFERRAL COUNT:</t>
  </si>
  <si>
    <t>DR. BASUIL/PEDRO SYSON</t>
  </si>
  <si>
    <t>DR. HONESTO LASAM</t>
  </si>
  <si>
    <t>DR. JOHNSEL ESPINOSA</t>
  </si>
  <si>
    <t>DR. KEVIN CHAN</t>
  </si>
  <si>
    <t>DR. LUIS REY  RODRIQUEZ</t>
  </si>
  <si>
    <t>DR. NARCISO DIOKNO</t>
  </si>
  <si>
    <t>DR. PATRICK DIZON</t>
  </si>
  <si>
    <t>DR. PEDRO SYSON</t>
  </si>
  <si>
    <t>DR. PETER ALBERT SYSON</t>
  </si>
  <si>
    <t>DR. RODIL DELA PAZ</t>
  </si>
  <si>
    <t>DRA. ANNA LIZA VIRTUCIO</t>
  </si>
  <si>
    <t>DRA. CARMEN CORAZON REYES</t>
  </si>
  <si>
    <t>DRA. CHASTITY AMOR REJUSO</t>
  </si>
  <si>
    <t>DRA. GRACIA CIELO BALCE</t>
  </si>
  <si>
    <t>DRA. TERESITA JOY EVANGELISTA</t>
  </si>
  <si>
    <t>CONSULTATION COUNT under each CLASSIFICATION</t>
  </si>
  <si>
    <t>MEDICAL DOCTOR NAME</t>
  </si>
  <si>
    <t>SLR (C/O 102)</t>
  </si>
  <si>
    <t>HMO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</si>
</sst>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15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3" fillId="3" borderId="0" xfId="0" applyFont="1" applyFill="1"/>
    <xf numFmtId="0" fontId="0" fillId="3" borderId="0" xfId="0" applyFont="1" applyFill="1"/>
    <xf numFmtId="0" fontId="1" fillId="3" borderId="0" xfId="0" applyFont="1" applyFill="1"/>
    <xf numFmtId="0" fontId="4" fillId="3" borderId="0" xfId="0" applyFont="1" applyFill="1"/>
    <xf numFmtId="0" fontId="5" fillId="3" borderId="0" xfId="0" applyFont="1" applyFill="1"/>
    <xf numFmtId="17" fontId="0" fillId="0" borderId="0" xfId="0" applyNumberFormat="1"/>
    <xf numFmtId="164" fontId="5" fillId="3" borderId="2" xfId="0" applyNumberFormat="1" applyFont="1" applyFill="1" applyBorder="1" applyAlignment="1">
      <alignment horizontal="center"/>
    </xf>
    <xf numFmtId="164" fontId="5" fillId="3" borderId="3" xfId="0" applyNumberFormat="1" applyFont="1" applyFill="1" applyBorder="1" applyAlignment="1">
      <alignment horizontal="center"/>
    </xf>
    <xf numFmtId="164" fontId="5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HMO PT Treatment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Output!$A$18:$A$35</c:f>
              <c:strCache>
                <c:ptCount val="18"/>
                <c:pt idx="0">
                  <c:v>HMO/ASIANLIFE</c:v>
                </c:pt>
                <c:pt idx="1">
                  <c:v>HMO/AVEGA</c:v>
                </c:pt>
                <c:pt idx="2">
                  <c:v>HMO/BLUECROSS</c:v>
                </c:pt>
                <c:pt idx="3">
                  <c:v>HMO/CAREHEALTHPLUS</c:v>
                </c:pt>
                <c:pt idx="4">
                  <c:v>HMO/COCOLIFE</c:v>
                </c:pt>
                <c:pt idx="5">
                  <c:v>HMO/EASTWEST</c:v>
                </c:pt>
                <c:pt idx="6">
                  <c:v>HMO/GENERALIPHIL</c:v>
                </c:pt>
                <c:pt idx="7">
                  <c:v>HMO/GETWELL</c:v>
                </c:pt>
                <c:pt idx="8">
                  <c:v>HMO/HMI</c:v>
                </c:pt>
                <c:pt idx="9">
                  <c:v>HMO/INTELLICARE</c:v>
                </c:pt>
                <c:pt idx="10">
                  <c:v>HMO/LACSON-LACSON</c:v>
                </c:pt>
                <c:pt idx="11">
                  <c:v>HMO/MAXICARE</c:v>
                </c:pt>
                <c:pt idx="12">
                  <c:v>HMO/MEDASIA</c:v>
                </c:pt>
                <c:pt idx="13">
                  <c:v>HMO/MEDICARD</c:v>
                </c:pt>
                <c:pt idx="14">
                  <c:v>HMO/MEDOCARE</c:v>
                </c:pt>
                <c:pt idx="15">
                  <c:v>HMO/PACIFICCROSS</c:v>
                </c:pt>
                <c:pt idx="16">
                  <c:v>HMO/PHILCARE</c:v>
                </c:pt>
                <c:pt idx="17">
                  <c:v>HMO/VALUCARE</c:v>
                </c:pt>
              </c:strCache>
            </c:strRef>
          </c:cat>
          <c:val>
            <c:numRef>
              <c:f>Output!$B$18:$B$35</c:f>
              <c:numCache>
                <c:formatCode>General</c:formatCode>
                <c:ptCount val="18"/>
                <c:pt idx="0">
                  <c:v>22</c:v>
                </c:pt>
                <c:pt idx="1">
                  <c:v>8</c:v>
                </c:pt>
                <c:pt idx="2">
                  <c:v>0</c:v>
                </c:pt>
                <c:pt idx="3">
                  <c:v>0</c:v>
                </c:pt>
                <c:pt idx="4">
                  <c:v>45</c:v>
                </c:pt>
                <c:pt idx="5">
                  <c:v>12</c:v>
                </c:pt>
                <c:pt idx="6">
                  <c:v>8</c:v>
                </c:pt>
                <c:pt idx="7">
                  <c:v>0</c:v>
                </c:pt>
                <c:pt idx="8">
                  <c:v>42</c:v>
                </c:pt>
                <c:pt idx="9">
                  <c:v>312</c:v>
                </c:pt>
                <c:pt idx="10">
                  <c:v>3</c:v>
                </c:pt>
                <c:pt idx="11">
                  <c:v>259</c:v>
                </c:pt>
                <c:pt idx="12">
                  <c:v>0</c:v>
                </c:pt>
                <c:pt idx="13">
                  <c:v>129</c:v>
                </c:pt>
                <c:pt idx="14">
                  <c:v>3</c:v>
                </c:pt>
                <c:pt idx="15">
                  <c:v>0</c:v>
                </c:pt>
                <c:pt idx="16">
                  <c:v>65</c:v>
                </c:pt>
                <c:pt idx="17">
                  <c:v>21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965568"/>
        <c:axId val="107966128"/>
      </c:barChart>
      <c:catAx>
        <c:axId val="1079655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66128"/>
        <c:crosses val="autoZero"/>
        <c:auto val="1"/>
        <c:lblAlgn val="ctr"/>
        <c:lblOffset val="100"/>
        <c:noMultiLvlLbl val="0"/>
      </c:catAx>
      <c:valAx>
        <c:axId val="107966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655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HMO Consultation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Output!$A$18:$A$35</c:f>
              <c:strCache>
                <c:ptCount val="18"/>
                <c:pt idx="0">
                  <c:v>HMO/ASIANLIFE</c:v>
                </c:pt>
                <c:pt idx="1">
                  <c:v>HMO/AVEGA</c:v>
                </c:pt>
                <c:pt idx="2">
                  <c:v>HMO/BLUECROSS</c:v>
                </c:pt>
                <c:pt idx="3">
                  <c:v>HMO/CAREHEALTHPLUS</c:v>
                </c:pt>
                <c:pt idx="4">
                  <c:v>HMO/COCOLIFE</c:v>
                </c:pt>
                <c:pt idx="5">
                  <c:v>HMO/EASTWEST</c:v>
                </c:pt>
                <c:pt idx="6">
                  <c:v>HMO/GENERALIPHIL</c:v>
                </c:pt>
                <c:pt idx="7">
                  <c:v>HMO/GETWELL</c:v>
                </c:pt>
                <c:pt idx="8">
                  <c:v>HMO/HMI</c:v>
                </c:pt>
                <c:pt idx="9">
                  <c:v>HMO/INTELLICARE</c:v>
                </c:pt>
                <c:pt idx="10">
                  <c:v>HMO/LACSON-LACSON</c:v>
                </c:pt>
                <c:pt idx="11">
                  <c:v>HMO/MAXICARE</c:v>
                </c:pt>
                <c:pt idx="12">
                  <c:v>HMO/MEDASIA</c:v>
                </c:pt>
                <c:pt idx="13">
                  <c:v>HMO/MEDICARD</c:v>
                </c:pt>
                <c:pt idx="14">
                  <c:v>HMO/MEDOCARE</c:v>
                </c:pt>
                <c:pt idx="15">
                  <c:v>HMO/PACIFICCROSS</c:v>
                </c:pt>
                <c:pt idx="16">
                  <c:v>HMO/PHILCARE</c:v>
                </c:pt>
                <c:pt idx="17">
                  <c:v>HMO/VALUCARE</c:v>
                </c:pt>
              </c:strCache>
            </c:strRef>
          </c:cat>
          <c:val>
            <c:numRef>
              <c:f>Output!$C$18:$C$35</c:f>
              <c:numCache>
                <c:formatCode>General</c:formatCode>
                <c:ptCount val="18"/>
                <c:pt idx="0">
                  <c:v>18</c:v>
                </c:pt>
                <c:pt idx="1">
                  <c:v>9</c:v>
                </c:pt>
                <c:pt idx="2">
                  <c:v>1</c:v>
                </c:pt>
                <c:pt idx="3">
                  <c:v>4</c:v>
                </c:pt>
                <c:pt idx="4">
                  <c:v>34</c:v>
                </c:pt>
                <c:pt idx="5">
                  <c:v>12</c:v>
                </c:pt>
                <c:pt idx="6">
                  <c:v>7</c:v>
                </c:pt>
                <c:pt idx="7">
                  <c:v>7</c:v>
                </c:pt>
                <c:pt idx="8">
                  <c:v>19</c:v>
                </c:pt>
                <c:pt idx="9">
                  <c:v>185</c:v>
                </c:pt>
                <c:pt idx="10">
                  <c:v>0</c:v>
                </c:pt>
                <c:pt idx="11">
                  <c:v>193</c:v>
                </c:pt>
                <c:pt idx="12">
                  <c:v>1</c:v>
                </c:pt>
                <c:pt idx="13">
                  <c:v>88</c:v>
                </c:pt>
                <c:pt idx="14">
                  <c:v>0</c:v>
                </c:pt>
                <c:pt idx="15">
                  <c:v>1</c:v>
                </c:pt>
                <c:pt idx="16">
                  <c:v>25</c:v>
                </c:pt>
                <c:pt idx="17">
                  <c:v>26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968368"/>
        <c:axId val="107968928"/>
      </c:barChart>
      <c:catAx>
        <c:axId val="107968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68928"/>
        <c:crosses val="autoZero"/>
        <c:auto val="1"/>
        <c:lblAlgn val="ctr"/>
        <c:lblOffset val="100"/>
        <c:noMultiLvlLbl val="0"/>
      </c:catAx>
      <c:valAx>
        <c:axId val="1079689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68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PT Treatment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Output!$A$46:$A$53</c:f>
              <c:strCache>
                <c:ptCount val="8"/>
                <c:pt idx="0">
                  <c:v>MEDICAL CERTIFICATE</c:v>
                </c:pt>
                <c:pt idx="1">
                  <c:v>NO CHARGE</c:v>
                </c:pt>
                <c:pt idx="2">
                  <c:v>PWD</c:v>
                </c:pt>
                <c:pt idx="3">
                  <c:v>SC</c:v>
                </c:pt>
                <c:pt idx="4">
                  <c:v>SLC</c:v>
                </c:pt>
                <c:pt idx="5">
                  <c:v>WI</c:v>
                </c:pt>
                <c:pt idx="6">
                  <c:v>WI (C/O 101) DOMINGA, ROBLES</c:v>
                </c:pt>
                <c:pt idx="7">
                  <c:v>WI (C/O MCDO)</c:v>
                </c:pt>
              </c:strCache>
            </c:strRef>
          </c:cat>
          <c:val>
            <c:numRef>
              <c:f>Output!$B$46:$B$53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222</c:v>
                </c:pt>
                <c:pt idx="3">
                  <c:v>868</c:v>
                </c:pt>
                <c:pt idx="4">
                  <c:v>178</c:v>
                </c:pt>
                <c:pt idx="5">
                  <c:v>789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971168"/>
        <c:axId val="107971728"/>
      </c:barChart>
      <c:catAx>
        <c:axId val="1079711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71728"/>
        <c:crosses val="autoZero"/>
        <c:auto val="1"/>
        <c:lblAlgn val="ctr"/>
        <c:lblOffset val="100"/>
        <c:noMultiLvlLbl val="0"/>
      </c:catAx>
      <c:valAx>
        <c:axId val="10797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711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Consultation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Output!$A$46:$A$53</c:f>
              <c:strCache>
                <c:ptCount val="8"/>
                <c:pt idx="0">
                  <c:v>MEDICAL CERTIFICATE</c:v>
                </c:pt>
                <c:pt idx="1">
                  <c:v>NO CHARGE</c:v>
                </c:pt>
                <c:pt idx="2">
                  <c:v>PWD</c:v>
                </c:pt>
                <c:pt idx="3">
                  <c:v>SC</c:v>
                </c:pt>
                <c:pt idx="4">
                  <c:v>SLC</c:v>
                </c:pt>
                <c:pt idx="5">
                  <c:v>WI</c:v>
                </c:pt>
                <c:pt idx="6">
                  <c:v>WI (C/O 101) DOMINGA, ROBLES</c:v>
                </c:pt>
                <c:pt idx="7">
                  <c:v>WI (C/O MCDO)</c:v>
                </c:pt>
              </c:strCache>
            </c:strRef>
          </c:cat>
          <c:val>
            <c:numRef>
              <c:f>Output!$C$46:$C$53</c:f>
              <c:numCache>
                <c:formatCode>General</c:formatCode>
                <c:ptCount val="8"/>
                <c:pt idx="0">
                  <c:v>0</c:v>
                </c:pt>
                <c:pt idx="1">
                  <c:v>35</c:v>
                </c:pt>
                <c:pt idx="2">
                  <c:v>15</c:v>
                </c:pt>
                <c:pt idx="3">
                  <c:v>195</c:v>
                </c:pt>
                <c:pt idx="4">
                  <c:v>40</c:v>
                </c:pt>
                <c:pt idx="5">
                  <c:v>238</c:v>
                </c:pt>
                <c:pt idx="6">
                  <c:v>1</c:v>
                </c:pt>
                <c:pt idx="7">
                  <c:v>20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7973968"/>
        <c:axId val="107974528"/>
      </c:barChart>
      <c:catAx>
        <c:axId val="107973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74528"/>
        <c:crosses val="autoZero"/>
        <c:auto val="1"/>
        <c:lblAlgn val="ctr"/>
        <c:lblOffset val="100"/>
        <c:noMultiLvlLbl val="0"/>
      </c:catAx>
      <c:valAx>
        <c:axId val="10797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7973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304800</xdr:colOff>
      <xdr:row>15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7</xdr:col>
      <xdr:colOff>304800</xdr:colOff>
      <xdr:row>31</xdr:row>
      <xdr:rowOff>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32</xdr:row>
      <xdr:rowOff>0</xdr:rowOff>
    </xdr:from>
    <xdr:to>
      <xdr:col>7</xdr:col>
      <xdr:colOff>304800</xdr:colOff>
      <xdr:row>47</xdr:row>
      <xdr:rowOff>0</xdr:rowOff>
    </xdr:to>
    <xdr:graphicFrame macro="">
      <xdr:nvGraphicFramePr>
        <xdr:cNvPr id="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48</xdr:row>
      <xdr:rowOff>0</xdr:rowOff>
    </xdr:from>
    <xdr:to>
      <xdr:col>7</xdr:col>
      <xdr:colOff>304800</xdr:colOff>
      <xdr:row>63</xdr:row>
      <xdr:rowOff>0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>
      <selection activeCell="A6" sqref="A6"/>
    </sheetView>
  </sheetViews>
  <sheetFormatPr defaultRowHeight="14.4" x14ac:dyDescent="0.3"/>
  <sheetData>
    <row r="1" spans="1:35" x14ac:dyDescent="0.3">
      <c r="A1" s="4" t="s">
        <v>31</v>
      </c>
    </row>
    <row r="2" spans="1:35" x14ac:dyDescent="0.3">
      <c r="A2" s="4" t="s">
        <v>17</v>
      </c>
      <c r="B2" t="s">
        <v>37</v>
      </c>
    </row>
    <row r="3" spans="1:35" x14ac:dyDescent="0.3">
      <c r="A3" s="3" t="s">
        <v>0</v>
      </c>
      <c r="B3" s="3"/>
      <c r="C3" s="3" t="s">
        <v>18</v>
      </c>
      <c r="D3" s="3" t="s">
        <v>2</v>
      </c>
      <c r="E3" s="3" t="s">
        <v>3</v>
      </c>
      <c r="F3" s="3" t="s">
        <v>19</v>
      </c>
      <c r="G3" s="3" t="s">
        <v>4</v>
      </c>
      <c r="H3" s="3" t="s">
        <v>5</v>
      </c>
      <c r="I3" s="3" t="s">
        <v>6</v>
      </c>
      <c r="J3" s="2" t="s">
        <v>20</v>
      </c>
      <c r="K3" s="2" t="s">
        <v>21</v>
      </c>
      <c r="L3" s="3" t="s">
        <v>22</v>
      </c>
      <c r="M3" s="3" t="s">
        <v>8</v>
      </c>
      <c r="N3" s="3" t="s">
        <v>10</v>
      </c>
      <c r="O3" s="3" t="s">
        <v>23</v>
      </c>
      <c r="P3" s="3" t="s">
        <v>24</v>
      </c>
      <c r="Q3" s="3" t="s">
        <v>13</v>
      </c>
      <c r="R3" s="3" t="s">
        <v>15</v>
      </c>
      <c r="S3" s="3" t="s">
        <v>25</v>
      </c>
      <c r="T3" s="3" t="s">
        <v>26</v>
      </c>
      <c r="U3" s="3" t="s">
        <v>27</v>
      </c>
      <c r="V3" s="3"/>
      <c r="W3" s="3"/>
      <c r="X3" s="3" t="s">
        <v>28</v>
      </c>
      <c r="Y3" s="3"/>
      <c r="Z3" s="3"/>
      <c r="AA3" s="3" t="s">
        <v>29</v>
      </c>
      <c r="AB3" s="3" t="s">
        <v>30</v>
      </c>
      <c r="AC3" s="3"/>
      <c r="AD3" s="3"/>
      <c r="AE3" s="3"/>
      <c r="AF3" s="3"/>
      <c r="AG3" s="3"/>
      <c r="AH3" s="3"/>
      <c r="AI3" s="3"/>
    </row>
    <row r="5" spans="1:35" x14ac:dyDescent="0.3">
      <c r="A5" s="4" t="s">
        <v>32</v>
      </c>
    </row>
    <row r="6" spans="1:35" x14ac:dyDescent="0.3">
      <c r="A6" s="4" t="s">
        <v>17</v>
      </c>
      <c r="B6" t="s">
        <v>37</v>
      </c>
    </row>
    <row r="7" spans="1:35" x14ac:dyDescent="0.3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6"/>
  <sheetViews>
    <sheetView workbookViewId="0">
      <selection activeCell="D8" activeCellId="1" sqref="A1 D8"/>
    </sheetView>
  </sheetViews>
  <sheetFormatPr defaultColWidth="9.109375" defaultRowHeight="14.4" x14ac:dyDescent="0.3"/>
  <cols>
    <col min="1" max="1" width="24.33203125" style="5" customWidth="1"/>
    <col min="2" max="16384" width="9.109375" style="5"/>
  </cols>
  <sheetData>
    <row r="1" spans="1:4" ht="23.4" x14ac:dyDescent="0.45">
      <c r="A1" s="6" t="s">
        <v>35</v>
      </c>
    </row>
    <row r="2" spans="1:4" x14ac:dyDescent="0.3">
      <c r="A2" s="7" t="s">
        <v>33</v>
      </c>
    </row>
    <row r="3" spans="1:4" x14ac:dyDescent="0.3">
      <c r="A3" s="7" t="s">
        <v>34</v>
      </c>
    </row>
    <row r="4" spans="1:4" ht="15" thickBot="1" x14ac:dyDescent="0.35">
      <c r="A4" s="8"/>
    </row>
    <row r="5" spans="1:4" ht="21.6" thickBot="1" x14ac:dyDescent="0.45">
      <c r="A5" s="9" t="s">
        <v>36</v>
      </c>
      <c r="B5" s="12">
        <f ca="1">NOW()-365</f>
        <v>43816.554404861112</v>
      </c>
      <c r="C5" s="13"/>
      <c r="D5" s="14"/>
    </row>
    <row r="6" spans="1:4" ht="21" x14ac:dyDescent="0.4">
      <c r="A6" s="10"/>
      <c r="B6" s="10"/>
      <c r="C6" s="10"/>
      <c r="D6" s="10"/>
    </row>
  </sheetData>
  <mergeCells count="1">
    <mergeCell ref="B5:D5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92"/>
  <sheetViews>
    <sheetView topLeftCell="A39" workbookViewId="0">
      <selection activeCell="B46" sqref="B46:C46"/>
    </sheetView>
  </sheetViews>
  <sheetFormatPr defaultRowHeight="14.4" x14ac:dyDescent="0.3"/>
  <cols>
    <col min="1" max="1" width="44.88671875" bestFit="1" customWidth="1"/>
    <col min="2" max="2" width="19.6640625" bestFit="1" customWidth="1"/>
    <col min="3" max="3" width="21.6640625" bestFit="1" customWidth="1"/>
    <col min="4" max="4" width="18.5546875" bestFit="1" customWidth="1"/>
    <col min="5" max="5" width="27" bestFit="1" customWidth="1"/>
    <col min="6" max="6" width="28.77734375" bestFit="1" customWidth="1"/>
    <col min="7" max="7" width="3.88671875" bestFit="1" customWidth="1"/>
    <col min="8" max="8" width="12.109375" bestFit="1" customWidth="1"/>
    <col min="9" max="9" width="28.21875" bestFit="1" customWidth="1"/>
    <col min="10" max="10" width="12.109375" bestFit="1" customWidth="1"/>
    <col min="11" max="11" width="28.6640625" bestFit="1" customWidth="1"/>
    <col min="12" max="12" width="19.33203125" bestFit="1" customWidth="1"/>
    <col min="13" max="13" width="18.44140625" bestFit="1" customWidth="1"/>
    <col min="14" max="14" width="21.109375" bestFit="1" customWidth="1"/>
    <col min="15" max="15" width="4" bestFit="1" customWidth="1"/>
    <col min="16" max="16" width="28.109375" bestFit="1" customWidth="1"/>
    <col min="17" max="17" width="14" bestFit="1" customWidth="1"/>
    <col min="18" max="18" width="5.21875" bestFit="1" customWidth="1"/>
  </cols>
  <sheetData>
    <row r="1" spans="1:5" x14ac:dyDescent="0.3">
      <c r="A1" t="s">
        <v>38</v>
      </c>
    </row>
    <row r="2" spans="1:5" x14ac:dyDescent="0.3">
      <c r="B2" t="s">
        <v>39</v>
      </c>
      <c r="C2" t="s">
        <v>40</v>
      </c>
      <c r="D2" t="s">
        <v>41</v>
      </c>
      <c r="E2" t="s">
        <v>42</v>
      </c>
    </row>
    <row r="3" spans="1:5" x14ac:dyDescent="0.3">
      <c r="A3" s="11">
        <v>43466</v>
      </c>
      <c r="B3">
        <v>191</v>
      </c>
      <c r="C3">
        <v>90</v>
      </c>
      <c r="D3">
        <v>2</v>
      </c>
      <c r="E3">
        <v>7</v>
      </c>
    </row>
    <row r="4" spans="1:5" x14ac:dyDescent="0.3">
      <c r="A4" s="11">
        <v>43497</v>
      </c>
      <c r="B4">
        <v>215</v>
      </c>
      <c r="C4">
        <v>87</v>
      </c>
      <c r="D4">
        <v>2</v>
      </c>
      <c r="E4">
        <v>1</v>
      </c>
    </row>
    <row r="5" spans="1:5" x14ac:dyDescent="0.3">
      <c r="A5" s="11">
        <v>43525</v>
      </c>
      <c r="B5">
        <v>267</v>
      </c>
      <c r="C5">
        <v>94</v>
      </c>
      <c r="D5">
        <v>1</v>
      </c>
      <c r="E5">
        <v>5</v>
      </c>
    </row>
    <row r="6" spans="1:5" x14ac:dyDescent="0.3">
      <c r="A6" s="11">
        <v>43556</v>
      </c>
      <c r="B6">
        <v>205</v>
      </c>
      <c r="C6">
        <v>85</v>
      </c>
      <c r="D6">
        <v>2</v>
      </c>
      <c r="E6">
        <v>3</v>
      </c>
    </row>
    <row r="7" spans="1:5" x14ac:dyDescent="0.3">
      <c r="A7" s="11">
        <v>43586</v>
      </c>
      <c r="B7">
        <v>281</v>
      </c>
      <c r="C7">
        <v>111</v>
      </c>
      <c r="D7">
        <v>2</v>
      </c>
      <c r="E7">
        <v>4</v>
      </c>
    </row>
    <row r="8" spans="1:5" x14ac:dyDescent="0.3">
      <c r="A8" s="11">
        <v>43617</v>
      </c>
      <c r="B8">
        <v>254</v>
      </c>
      <c r="C8">
        <v>90</v>
      </c>
      <c r="D8">
        <v>4</v>
      </c>
      <c r="E8">
        <v>13</v>
      </c>
    </row>
    <row r="9" spans="1:5" x14ac:dyDescent="0.3">
      <c r="A9" s="11">
        <v>43647</v>
      </c>
      <c r="B9">
        <v>312</v>
      </c>
      <c r="C9">
        <v>99</v>
      </c>
      <c r="D9">
        <v>1</v>
      </c>
      <c r="E9">
        <v>12</v>
      </c>
    </row>
    <row r="10" spans="1:5" x14ac:dyDescent="0.3">
      <c r="A10" s="11">
        <v>43678</v>
      </c>
      <c r="B10">
        <v>252</v>
      </c>
      <c r="C10">
        <v>104</v>
      </c>
      <c r="D10">
        <v>3</v>
      </c>
      <c r="E10">
        <v>7</v>
      </c>
    </row>
    <row r="11" spans="1:5" x14ac:dyDescent="0.3">
      <c r="A11" s="11">
        <v>43709</v>
      </c>
      <c r="B11">
        <v>256</v>
      </c>
      <c r="C11">
        <v>114</v>
      </c>
      <c r="D11">
        <v>4</v>
      </c>
      <c r="E11">
        <v>5</v>
      </c>
    </row>
    <row r="12" spans="1:5" x14ac:dyDescent="0.3">
      <c r="A12" s="11">
        <v>43739</v>
      </c>
      <c r="B12">
        <v>307</v>
      </c>
      <c r="C12">
        <v>136</v>
      </c>
      <c r="D12">
        <v>3</v>
      </c>
      <c r="E12">
        <v>7</v>
      </c>
    </row>
    <row r="13" spans="1:5" x14ac:dyDescent="0.3">
      <c r="A13" s="11">
        <v>43770</v>
      </c>
      <c r="B13">
        <v>268</v>
      </c>
      <c r="C13">
        <v>96</v>
      </c>
      <c r="D13">
        <v>2</v>
      </c>
      <c r="E13">
        <v>7</v>
      </c>
    </row>
    <row r="14" spans="1:5" x14ac:dyDescent="0.3">
      <c r="A14" s="11">
        <v>43800</v>
      </c>
      <c r="B14">
        <v>195</v>
      </c>
      <c r="C14">
        <v>76</v>
      </c>
      <c r="D14">
        <v>1</v>
      </c>
      <c r="E14">
        <v>5</v>
      </c>
    </row>
    <row r="15" spans="1:5" x14ac:dyDescent="0.3">
      <c r="A15" t="s">
        <v>43</v>
      </c>
      <c r="B15">
        <v>3003</v>
      </c>
      <c r="C15">
        <v>1182</v>
      </c>
      <c r="D15">
        <v>27</v>
      </c>
      <c r="E15">
        <v>76</v>
      </c>
    </row>
    <row r="17" spans="1:5" x14ac:dyDescent="0.3">
      <c r="B17" t="s">
        <v>39</v>
      </c>
      <c r="C17" t="s">
        <v>40</v>
      </c>
      <c r="D17" t="s">
        <v>41</v>
      </c>
      <c r="E17" t="s">
        <v>42</v>
      </c>
    </row>
    <row r="18" spans="1:5" x14ac:dyDescent="0.3">
      <c r="A18" t="s">
        <v>44</v>
      </c>
      <c r="B18">
        <v>22</v>
      </c>
      <c r="C18">
        <v>18</v>
      </c>
      <c r="D18">
        <v>2</v>
      </c>
      <c r="E18">
        <v>0</v>
      </c>
    </row>
    <row r="19" spans="1:5" x14ac:dyDescent="0.3">
      <c r="A19" t="s">
        <v>45</v>
      </c>
      <c r="B19">
        <v>8</v>
      </c>
      <c r="C19">
        <v>9</v>
      </c>
      <c r="D19">
        <v>0</v>
      </c>
      <c r="E19">
        <v>0</v>
      </c>
    </row>
    <row r="20" spans="1:5" x14ac:dyDescent="0.3">
      <c r="A20" t="s">
        <v>46</v>
      </c>
      <c r="B20">
        <v>0</v>
      </c>
      <c r="C20">
        <v>1</v>
      </c>
      <c r="D20">
        <v>0</v>
      </c>
      <c r="E20">
        <v>0</v>
      </c>
    </row>
    <row r="21" spans="1:5" x14ac:dyDescent="0.3">
      <c r="A21" t="s">
        <v>47</v>
      </c>
      <c r="B21">
        <v>0</v>
      </c>
      <c r="C21">
        <v>4</v>
      </c>
      <c r="D21">
        <v>0</v>
      </c>
      <c r="E21">
        <v>0</v>
      </c>
    </row>
    <row r="22" spans="1:5" x14ac:dyDescent="0.3">
      <c r="A22" t="s">
        <v>48</v>
      </c>
      <c r="B22">
        <v>45</v>
      </c>
      <c r="C22">
        <v>34</v>
      </c>
      <c r="D22">
        <v>1</v>
      </c>
      <c r="E22">
        <v>0</v>
      </c>
    </row>
    <row r="23" spans="1:5" x14ac:dyDescent="0.3">
      <c r="A23" t="s">
        <v>49</v>
      </c>
      <c r="B23">
        <v>12</v>
      </c>
      <c r="C23">
        <v>12</v>
      </c>
      <c r="D23">
        <v>0</v>
      </c>
      <c r="E23">
        <v>0</v>
      </c>
    </row>
    <row r="24" spans="1:5" x14ac:dyDescent="0.3">
      <c r="A24" t="s">
        <v>50</v>
      </c>
      <c r="B24">
        <v>8</v>
      </c>
      <c r="C24">
        <v>7</v>
      </c>
      <c r="D24">
        <v>0</v>
      </c>
      <c r="E24">
        <v>0</v>
      </c>
    </row>
    <row r="25" spans="1:5" x14ac:dyDescent="0.3">
      <c r="A25" t="s">
        <v>51</v>
      </c>
      <c r="B25">
        <v>0</v>
      </c>
      <c r="C25">
        <v>7</v>
      </c>
      <c r="D25">
        <v>1</v>
      </c>
      <c r="E25">
        <v>0</v>
      </c>
    </row>
    <row r="26" spans="1:5" x14ac:dyDescent="0.3">
      <c r="A26" t="s">
        <v>52</v>
      </c>
      <c r="B26">
        <v>42</v>
      </c>
      <c r="C26">
        <v>19</v>
      </c>
      <c r="D26">
        <v>0</v>
      </c>
      <c r="E26">
        <v>0</v>
      </c>
    </row>
    <row r="27" spans="1:5" x14ac:dyDescent="0.3">
      <c r="A27" t="s">
        <v>53</v>
      </c>
      <c r="B27">
        <v>312</v>
      </c>
      <c r="C27">
        <v>185</v>
      </c>
      <c r="D27">
        <v>7</v>
      </c>
      <c r="E27">
        <v>0</v>
      </c>
    </row>
    <row r="28" spans="1:5" x14ac:dyDescent="0.3">
      <c r="A28" t="s">
        <v>54</v>
      </c>
      <c r="B28">
        <v>3</v>
      </c>
      <c r="C28">
        <v>0</v>
      </c>
      <c r="D28">
        <v>0</v>
      </c>
      <c r="E28">
        <v>0</v>
      </c>
    </row>
    <row r="29" spans="1:5" x14ac:dyDescent="0.3">
      <c r="A29" t="s">
        <v>55</v>
      </c>
      <c r="B29">
        <v>259</v>
      </c>
      <c r="C29">
        <v>193</v>
      </c>
      <c r="D29">
        <v>5</v>
      </c>
      <c r="E29">
        <v>0</v>
      </c>
    </row>
    <row r="30" spans="1:5" x14ac:dyDescent="0.3">
      <c r="A30" t="s">
        <v>56</v>
      </c>
      <c r="B30">
        <v>0</v>
      </c>
      <c r="C30">
        <v>1</v>
      </c>
      <c r="D30">
        <v>0</v>
      </c>
      <c r="E30">
        <v>0</v>
      </c>
    </row>
    <row r="31" spans="1:5" x14ac:dyDescent="0.3">
      <c r="A31" t="s">
        <v>57</v>
      </c>
      <c r="B31">
        <v>129</v>
      </c>
      <c r="C31">
        <v>88</v>
      </c>
      <c r="D31">
        <v>3</v>
      </c>
      <c r="E31">
        <v>0</v>
      </c>
    </row>
    <row r="32" spans="1:5" x14ac:dyDescent="0.3">
      <c r="A32" t="s">
        <v>58</v>
      </c>
      <c r="B32">
        <v>3</v>
      </c>
      <c r="C32">
        <v>0</v>
      </c>
      <c r="D32">
        <v>0</v>
      </c>
      <c r="E32">
        <v>0</v>
      </c>
    </row>
    <row r="33" spans="1:5" x14ac:dyDescent="0.3">
      <c r="A33" t="s">
        <v>59</v>
      </c>
      <c r="B33">
        <v>0</v>
      </c>
      <c r="C33">
        <v>1</v>
      </c>
      <c r="D33">
        <v>0</v>
      </c>
      <c r="E33">
        <v>0</v>
      </c>
    </row>
    <row r="34" spans="1:5" x14ac:dyDescent="0.3">
      <c r="A34" t="s">
        <v>60</v>
      </c>
      <c r="B34">
        <v>65</v>
      </c>
      <c r="C34">
        <v>25</v>
      </c>
      <c r="D34">
        <v>0</v>
      </c>
      <c r="E34">
        <v>0</v>
      </c>
    </row>
    <row r="35" spans="1:5" x14ac:dyDescent="0.3">
      <c r="A35" t="s">
        <v>61</v>
      </c>
      <c r="B35">
        <v>21</v>
      </c>
      <c r="C35">
        <v>26</v>
      </c>
      <c r="D35">
        <v>0</v>
      </c>
      <c r="E35">
        <v>0</v>
      </c>
    </row>
    <row r="36" spans="1:5" x14ac:dyDescent="0.3">
      <c r="A36" t="s">
        <v>62</v>
      </c>
      <c r="B36">
        <v>0</v>
      </c>
      <c r="C36">
        <v>2</v>
      </c>
      <c r="D36">
        <v>0</v>
      </c>
      <c r="E36">
        <v>0</v>
      </c>
    </row>
    <row r="37" spans="1:5" x14ac:dyDescent="0.3">
      <c r="A37" t="s">
        <v>63</v>
      </c>
      <c r="B37">
        <v>0</v>
      </c>
      <c r="C37">
        <v>2</v>
      </c>
      <c r="D37">
        <v>0</v>
      </c>
      <c r="E37">
        <v>0</v>
      </c>
    </row>
    <row r="38" spans="1:5" x14ac:dyDescent="0.3">
      <c r="A38" t="s">
        <v>64</v>
      </c>
      <c r="B38">
        <v>17</v>
      </c>
      <c r="C38">
        <v>0</v>
      </c>
      <c r="D38">
        <v>0</v>
      </c>
      <c r="E38">
        <v>0</v>
      </c>
    </row>
    <row r="39" spans="1:5" x14ac:dyDescent="0.3">
      <c r="A39" t="s">
        <v>65</v>
      </c>
      <c r="B39">
        <v>0</v>
      </c>
      <c r="C39">
        <v>1</v>
      </c>
      <c r="D39">
        <v>0</v>
      </c>
      <c r="E39">
        <v>0</v>
      </c>
    </row>
    <row r="40" spans="1:5" x14ac:dyDescent="0.3">
      <c r="A40" t="s">
        <v>66</v>
      </c>
      <c r="B40">
        <v>0</v>
      </c>
      <c r="C40">
        <v>1</v>
      </c>
      <c r="D40">
        <v>0</v>
      </c>
      <c r="E40">
        <v>0</v>
      </c>
    </row>
    <row r="41" spans="1:5" x14ac:dyDescent="0.3">
      <c r="A41" t="s">
        <v>67</v>
      </c>
      <c r="B41">
        <v>0</v>
      </c>
      <c r="C41">
        <v>1</v>
      </c>
      <c r="D41">
        <v>0</v>
      </c>
      <c r="E41">
        <v>0</v>
      </c>
    </row>
    <row r="42" spans="1:5" x14ac:dyDescent="0.3">
      <c r="A42" t="s">
        <v>68</v>
      </c>
      <c r="B42">
        <v>0</v>
      </c>
      <c r="C42">
        <v>1</v>
      </c>
      <c r="D42">
        <v>0</v>
      </c>
      <c r="E42">
        <v>0</v>
      </c>
    </row>
    <row r="43" spans="1:5" x14ac:dyDescent="0.3">
      <c r="A43" t="s">
        <v>43</v>
      </c>
      <c r="B43">
        <v>946</v>
      </c>
      <c r="C43">
        <v>638</v>
      </c>
      <c r="D43">
        <v>19</v>
      </c>
      <c r="E43">
        <v>0</v>
      </c>
    </row>
    <row r="45" spans="1:5" x14ac:dyDescent="0.3">
      <c r="B45" t="s">
        <v>39</v>
      </c>
      <c r="C45" t="s">
        <v>40</v>
      </c>
      <c r="D45" t="s">
        <v>41</v>
      </c>
      <c r="E45" t="s">
        <v>42</v>
      </c>
    </row>
    <row r="46" spans="1:5" x14ac:dyDescent="0.3">
      <c r="A46" t="s">
        <v>69</v>
      </c>
      <c r="B46">
        <v>0</v>
      </c>
      <c r="C46">
        <v>0</v>
      </c>
      <c r="D46">
        <v>0</v>
      </c>
      <c r="E46">
        <v>76</v>
      </c>
    </row>
    <row r="47" spans="1:5" x14ac:dyDescent="0.3">
      <c r="A47" t="s">
        <v>70</v>
      </c>
      <c r="B47">
        <v>0</v>
      </c>
      <c r="C47">
        <v>35</v>
      </c>
      <c r="D47">
        <v>0</v>
      </c>
      <c r="E47">
        <v>0</v>
      </c>
    </row>
    <row r="48" spans="1:5" x14ac:dyDescent="0.3">
      <c r="A48" t="s">
        <v>71</v>
      </c>
      <c r="B48">
        <v>222</v>
      </c>
      <c r="C48">
        <v>15</v>
      </c>
      <c r="D48">
        <v>0</v>
      </c>
      <c r="E48">
        <v>0</v>
      </c>
    </row>
    <row r="49" spans="1:6" x14ac:dyDescent="0.3">
      <c r="A49" t="s">
        <v>72</v>
      </c>
      <c r="B49">
        <v>868</v>
      </c>
      <c r="C49">
        <v>195</v>
      </c>
      <c r="D49">
        <v>2</v>
      </c>
      <c r="E49">
        <v>0</v>
      </c>
    </row>
    <row r="50" spans="1:6" x14ac:dyDescent="0.3">
      <c r="A50" t="s">
        <v>73</v>
      </c>
      <c r="B50">
        <v>178</v>
      </c>
      <c r="C50">
        <v>40</v>
      </c>
      <c r="D50">
        <v>2</v>
      </c>
      <c r="E50">
        <v>0</v>
      </c>
    </row>
    <row r="51" spans="1:6" x14ac:dyDescent="0.3">
      <c r="A51" t="s">
        <v>74</v>
      </c>
      <c r="B51">
        <v>789</v>
      </c>
      <c r="C51">
        <v>238</v>
      </c>
      <c r="D51">
        <v>4</v>
      </c>
      <c r="E51">
        <v>0</v>
      </c>
    </row>
    <row r="52" spans="1:6" x14ac:dyDescent="0.3">
      <c r="A52" t="s">
        <v>75</v>
      </c>
      <c r="B52">
        <v>0</v>
      </c>
      <c r="C52">
        <v>1</v>
      </c>
      <c r="D52">
        <v>0</v>
      </c>
      <c r="E52">
        <v>0</v>
      </c>
    </row>
    <row r="53" spans="1:6" x14ac:dyDescent="0.3">
      <c r="A53" t="s">
        <v>76</v>
      </c>
      <c r="B53">
        <v>0</v>
      </c>
      <c r="C53">
        <v>20</v>
      </c>
      <c r="D53">
        <v>0</v>
      </c>
      <c r="E53">
        <v>0</v>
      </c>
    </row>
    <row r="54" spans="1:6" x14ac:dyDescent="0.3">
      <c r="A54" t="s">
        <v>77</v>
      </c>
      <c r="B54">
        <v>946</v>
      </c>
      <c r="C54">
        <v>638</v>
      </c>
      <c r="D54">
        <v>19</v>
      </c>
      <c r="E54">
        <v>0</v>
      </c>
    </row>
    <row r="55" spans="1:6" x14ac:dyDescent="0.3">
      <c r="A55" t="s">
        <v>43</v>
      </c>
      <c r="B55">
        <v>3003</v>
      </c>
      <c r="C55">
        <v>1182</v>
      </c>
      <c r="D55">
        <v>27</v>
      </c>
      <c r="E55">
        <v>76</v>
      </c>
    </row>
    <row r="57" spans="1:6" x14ac:dyDescent="0.3">
      <c r="B57" t="s">
        <v>39</v>
      </c>
      <c r="C57" t="s">
        <v>40</v>
      </c>
      <c r="D57" t="s">
        <v>41</v>
      </c>
      <c r="E57" t="s">
        <v>42</v>
      </c>
      <c r="F57" t="s">
        <v>78</v>
      </c>
    </row>
    <row r="58" spans="1:6" x14ac:dyDescent="0.3">
      <c r="A58" t="s">
        <v>79</v>
      </c>
      <c r="B58">
        <v>1</v>
      </c>
      <c r="C58">
        <v>0</v>
      </c>
      <c r="D58">
        <v>0</v>
      </c>
      <c r="E58">
        <v>0</v>
      </c>
      <c r="F58">
        <v>1</v>
      </c>
    </row>
    <row r="59" spans="1:6" x14ac:dyDescent="0.3">
      <c r="A59" t="s">
        <v>80</v>
      </c>
      <c r="B59">
        <v>332</v>
      </c>
      <c r="C59">
        <v>321</v>
      </c>
      <c r="D59">
        <v>0</v>
      </c>
      <c r="E59">
        <v>11</v>
      </c>
      <c r="F59">
        <v>61</v>
      </c>
    </row>
    <row r="60" spans="1:6" x14ac:dyDescent="0.3">
      <c r="A60" t="s">
        <v>81</v>
      </c>
      <c r="B60">
        <v>31</v>
      </c>
      <c r="C60">
        <v>0</v>
      </c>
      <c r="D60">
        <v>0</v>
      </c>
      <c r="E60">
        <v>0</v>
      </c>
      <c r="F60">
        <v>3</v>
      </c>
    </row>
    <row r="61" spans="1:6" x14ac:dyDescent="0.3">
      <c r="A61" t="s">
        <v>82</v>
      </c>
      <c r="B61">
        <v>3</v>
      </c>
      <c r="C61">
        <v>0</v>
      </c>
      <c r="D61">
        <v>0</v>
      </c>
      <c r="E61">
        <v>0</v>
      </c>
      <c r="F61">
        <v>1</v>
      </c>
    </row>
    <row r="62" spans="1:6" x14ac:dyDescent="0.3">
      <c r="A62" t="s">
        <v>83</v>
      </c>
      <c r="B62">
        <v>6</v>
      </c>
      <c r="C62">
        <v>7</v>
      </c>
      <c r="D62">
        <v>0</v>
      </c>
      <c r="E62">
        <v>1</v>
      </c>
      <c r="F62">
        <v>1</v>
      </c>
    </row>
    <row r="63" spans="1:6" x14ac:dyDescent="0.3">
      <c r="A63" t="s">
        <v>84</v>
      </c>
      <c r="B63">
        <v>26</v>
      </c>
      <c r="C63">
        <v>0</v>
      </c>
      <c r="D63">
        <v>0</v>
      </c>
      <c r="E63">
        <v>0</v>
      </c>
      <c r="F63">
        <v>4</v>
      </c>
    </row>
    <row r="64" spans="1:6" x14ac:dyDescent="0.3">
      <c r="A64" t="s">
        <v>85</v>
      </c>
      <c r="B64">
        <v>27</v>
      </c>
      <c r="C64">
        <v>0</v>
      </c>
      <c r="D64">
        <v>0</v>
      </c>
      <c r="E64">
        <v>0</v>
      </c>
      <c r="F64">
        <v>0</v>
      </c>
    </row>
    <row r="65" spans="1:18" x14ac:dyDescent="0.3">
      <c r="A65" t="s">
        <v>86</v>
      </c>
      <c r="B65">
        <v>1257</v>
      </c>
      <c r="C65">
        <v>302</v>
      </c>
      <c r="D65">
        <v>0</v>
      </c>
      <c r="E65">
        <v>26</v>
      </c>
      <c r="F65">
        <v>185</v>
      </c>
    </row>
    <row r="66" spans="1:18" x14ac:dyDescent="0.3">
      <c r="A66" t="s">
        <v>87</v>
      </c>
      <c r="B66">
        <v>525</v>
      </c>
      <c r="C66">
        <v>0</v>
      </c>
      <c r="D66">
        <v>0</v>
      </c>
      <c r="E66">
        <v>0</v>
      </c>
      <c r="F66">
        <v>73</v>
      </c>
    </row>
    <row r="67" spans="1:18" x14ac:dyDescent="0.3">
      <c r="A67" t="s">
        <v>88</v>
      </c>
      <c r="B67">
        <v>359</v>
      </c>
      <c r="C67">
        <v>420</v>
      </c>
      <c r="D67">
        <v>0</v>
      </c>
      <c r="E67">
        <v>33</v>
      </c>
      <c r="F67">
        <v>51</v>
      </c>
    </row>
    <row r="68" spans="1:18" x14ac:dyDescent="0.3">
      <c r="A68" t="s">
        <v>89</v>
      </c>
      <c r="B68">
        <v>109</v>
      </c>
      <c r="C68">
        <v>0</v>
      </c>
      <c r="D68">
        <v>0</v>
      </c>
      <c r="E68">
        <v>0</v>
      </c>
      <c r="F68">
        <v>5</v>
      </c>
    </row>
    <row r="69" spans="1:18" x14ac:dyDescent="0.3">
      <c r="A69" t="s">
        <v>90</v>
      </c>
      <c r="B69">
        <v>30</v>
      </c>
      <c r="C69">
        <v>0</v>
      </c>
      <c r="D69">
        <v>0</v>
      </c>
      <c r="E69">
        <v>0</v>
      </c>
      <c r="F69">
        <v>0</v>
      </c>
    </row>
    <row r="70" spans="1:18" x14ac:dyDescent="0.3">
      <c r="A70" t="s">
        <v>91</v>
      </c>
      <c r="B70">
        <v>11</v>
      </c>
      <c r="C70">
        <v>2</v>
      </c>
      <c r="D70">
        <v>0</v>
      </c>
      <c r="E70">
        <v>0</v>
      </c>
      <c r="F70">
        <v>3</v>
      </c>
    </row>
    <row r="71" spans="1:18" x14ac:dyDescent="0.3">
      <c r="A71" t="s">
        <v>92</v>
      </c>
      <c r="B71">
        <v>284</v>
      </c>
      <c r="C71">
        <v>149</v>
      </c>
      <c r="D71">
        <v>0</v>
      </c>
      <c r="E71">
        <v>5</v>
      </c>
      <c r="F71">
        <v>49</v>
      </c>
    </row>
    <row r="72" spans="1:18" x14ac:dyDescent="0.3">
      <c r="A72" t="s">
        <v>93</v>
      </c>
      <c r="B72">
        <v>2</v>
      </c>
      <c r="C72">
        <v>0</v>
      </c>
      <c r="D72">
        <v>0</v>
      </c>
      <c r="E72">
        <v>0</v>
      </c>
      <c r="F72">
        <v>0</v>
      </c>
    </row>
    <row r="73" spans="1:18" x14ac:dyDescent="0.3">
      <c r="A73" t="s">
        <v>43</v>
      </c>
      <c r="B73">
        <v>3003</v>
      </c>
      <c r="C73">
        <v>1201</v>
      </c>
      <c r="D73">
        <v>0</v>
      </c>
      <c r="E73">
        <v>0</v>
      </c>
      <c r="F73">
        <v>437</v>
      </c>
    </row>
    <row r="75" spans="1:18" x14ac:dyDescent="0.3">
      <c r="A75" t="s">
        <v>94</v>
      </c>
    </row>
    <row r="76" spans="1:18" x14ac:dyDescent="0.3">
      <c r="A76" t="s">
        <v>95</v>
      </c>
      <c r="B76" t="s">
        <v>69</v>
      </c>
      <c r="C76" t="s">
        <v>70</v>
      </c>
      <c r="D76" t="s">
        <v>71</v>
      </c>
      <c r="E76" t="s">
        <v>72</v>
      </c>
      <c r="F76" t="s">
        <v>73</v>
      </c>
      <c r="G76" t="s">
        <v>62</v>
      </c>
      <c r="H76" t="s">
        <v>63</v>
      </c>
      <c r="I76" t="s">
        <v>64</v>
      </c>
      <c r="J76" t="s">
        <v>96</v>
      </c>
      <c r="K76" t="s">
        <v>65</v>
      </c>
      <c r="L76" t="s">
        <v>66</v>
      </c>
      <c r="M76" t="s">
        <v>67</v>
      </c>
      <c r="N76" t="s">
        <v>68</v>
      </c>
      <c r="O76" t="s">
        <v>74</v>
      </c>
      <c r="P76" t="s">
        <v>75</v>
      </c>
      <c r="Q76" t="s">
        <v>76</v>
      </c>
      <c r="R76" t="s">
        <v>97</v>
      </c>
    </row>
    <row r="77" spans="1:18" x14ac:dyDescent="0.3">
      <c r="A77" t="s">
        <v>79</v>
      </c>
      <c r="B77">
        <v>0</v>
      </c>
      <c r="C77">
        <v>0</v>
      </c>
      <c r="D77">
        <v>0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</row>
    <row r="78" spans="1:18" x14ac:dyDescent="0.3">
      <c r="A78" t="s">
        <v>80</v>
      </c>
      <c r="B78">
        <v>0</v>
      </c>
      <c r="C78">
        <v>5</v>
      </c>
      <c r="D78">
        <v>1</v>
      </c>
      <c r="E78">
        <v>37</v>
      </c>
      <c r="F78">
        <v>11</v>
      </c>
      <c r="G78">
        <v>1</v>
      </c>
      <c r="H78">
        <v>1</v>
      </c>
      <c r="I78">
        <v>0</v>
      </c>
      <c r="J78">
        <v>0</v>
      </c>
      <c r="K78">
        <v>0</v>
      </c>
      <c r="L78">
        <v>1</v>
      </c>
      <c r="M78">
        <v>0</v>
      </c>
      <c r="N78">
        <v>1</v>
      </c>
      <c r="O78">
        <v>56</v>
      </c>
      <c r="P78">
        <v>1</v>
      </c>
      <c r="Q78">
        <v>4</v>
      </c>
      <c r="R78">
        <v>202</v>
      </c>
    </row>
    <row r="79" spans="1:18" x14ac:dyDescent="0.3">
      <c r="A79" t="s">
        <v>81</v>
      </c>
      <c r="B79">
        <v>0</v>
      </c>
      <c r="C79">
        <v>0</v>
      </c>
      <c r="D79">
        <v>0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</row>
    <row r="80" spans="1:18" x14ac:dyDescent="0.3">
      <c r="A80" t="s">
        <v>82</v>
      </c>
      <c r="B80">
        <v>0</v>
      </c>
      <c r="C80">
        <v>0</v>
      </c>
      <c r="D80">
        <v>0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</row>
    <row r="81" spans="1:18" x14ac:dyDescent="0.3">
      <c r="A81" t="s">
        <v>83</v>
      </c>
      <c r="B81">
        <v>0</v>
      </c>
      <c r="C81">
        <v>0</v>
      </c>
      <c r="D81">
        <v>0</v>
      </c>
      <c r="E81">
        <v>1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4</v>
      </c>
      <c r="P81">
        <v>0</v>
      </c>
      <c r="Q81">
        <v>0</v>
      </c>
      <c r="R81">
        <v>2</v>
      </c>
    </row>
    <row r="82" spans="1:18" x14ac:dyDescent="0.3">
      <c r="A82" t="s">
        <v>84</v>
      </c>
      <c r="B82">
        <v>0</v>
      </c>
      <c r="C82">
        <v>0</v>
      </c>
      <c r="D82">
        <v>0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</row>
    <row r="83" spans="1:18" x14ac:dyDescent="0.3">
      <c r="A83" t="s">
        <v>85</v>
      </c>
      <c r="B83">
        <v>0</v>
      </c>
      <c r="C83">
        <v>0</v>
      </c>
      <c r="D83">
        <v>0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</row>
    <row r="84" spans="1:18" x14ac:dyDescent="0.3">
      <c r="A84" t="s">
        <v>86</v>
      </c>
      <c r="B84">
        <v>0</v>
      </c>
      <c r="C84">
        <v>7</v>
      </c>
      <c r="D84">
        <v>4</v>
      </c>
      <c r="E84">
        <v>72</v>
      </c>
      <c r="F84">
        <v>15</v>
      </c>
      <c r="G84">
        <v>0</v>
      </c>
      <c r="H84">
        <v>0</v>
      </c>
      <c r="I84">
        <v>0</v>
      </c>
      <c r="J84">
        <v>0</v>
      </c>
      <c r="K84">
        <v>1</v>
      </c>
      <c r="L84">
        <v>0</v>
      </c>
      <c r="M84">
        <v>1</v>
      </c>
      <c r="N84">
        <v>0</v>
      </c>
      <c r="O84">
        <v>56</v>
      </c>
      <c r="P84">
        <v>0</v>
      </c>
      <c r="Q84">
        <v>6</v>
      </c>
      <c r="R84">
        <v>140</v>
      </c>
    </row>
    <row r="85" spans="1:18" x14ac:dyDescent="0.3">
      <c r="A85" t="s">
        <v>87</v>
      </c>
      <c r="B85">
        <v>0</v>
      </c>
      <c r="C85">
        <v>0</v>
      </c>
      <c r="D85">
        <v>0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</row>
    <row r="86" spans="1:18" x14ac:dyDescent="0.3">
      <c r="A86" t="s">
        <v>88</v>
      </c>
      <c r="B86">
        <v>0</v>
      </c>
      <c r="C86">
        <v>21</v>
      </c>
      <c r="D86">
        <v>4</v>
      </c>
      <c r="E86">
        <v>71</v>
      </c>
      <c r="F86">
        <v>11</v>
      </c>
      <c r="G86">
        <v>1</v>
      </c>
      <c r="H86">
        <v>0</v>
      </c>
      <c r="I86">
        <v>0</v>
      </c>
      <c r="J86">
        <v>1</v>
      </c>
      <c r="K86">
        <v>0</v>
      </c>
      <c r="L86">
        <v>0</v>
      </c>
      <c r="M86">
        <v>0</v>
      </c>
      <c r="N86">
        <v>0</v>
      </c>
      <c r="O86">
        <v>88</v>
      </c>
      <c r="P86">
        <v>0</v>
      </c>
      <c r="Q86">
        <v>7</v>
      </c>
      <c r="R86">
        <v>216</v>
      </c>
    </row>
    <row r="87" spans="1:18" x14ac:dyDescent="0.3">
      <c r="A87" t="s">
        <v>89</v>
      </c>
      <c r="B87">
        <v>0</v>
      </c>
      <c r="C87">
        <v>0</v>
      </c>
      <c r="D87">
        <v>0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</row>
    <row r="88" spans="1:18" x14ac:dyDescent="0.3">
      <c r="A88" t="s">
        <v>90</v>
      </c>
      <c r="B88">
        <v>0</v>
      </c>
      <c r="C88">
        <v>0</v>
      </c>
      <c r="D88">
        <v>0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</row>
    <row r="89" spans="1:18" x14ac:dyDescent="0.3">
      <c r="A89" t="s">
        <v>91</v>
      </c>
      <c r="B89">
        <v>0</v>
      </c>
      <c r="C89">
        <v>0</v>
      </c>
      <c r="D89">
        <v>0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2</v>
      </c>
      <c r="P89">
        <v>0</v>
      </c>
      <c r="Q89">
        <v>0</v>
      </c>
      <c r="R89">
        <v>0</v>
      </c>
    </row>
    <row r="90" spans="1:18" x14ac:dyDescent="0.3">
      <c r="A90" t="s">
        <v>92</v>
      </c>
      <c r="B90">
        <v>0</v>
      </c>
      <c r="C90">
        <v>2</v>
      </c>
      <c r="D90">
        <v>6</v>
      </c>
      <c r="E90">
        <v>14</v>
      </c>
      <c r="F90">
        <v>3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32</v>
      </c>
      <c r="P90">
        <v>0</v>
      </c>
      <c r="Q90">
        <v>3</v>
      </c>
      <c r="R90">
        <v>89</v>
      </c>
    </row>
    <row r="91" spans="1:18" x14ac:dyDescent="0.3">
      <c r="A91" t="s">
        <v>93</v>
      </c>
      <c r="B91">
        <v>0</v>
      </c>
      <c r="C91">
        <v>0</v>
      </c>
      <c r="D91">
        <v>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</row>
    <row r="92" spans="1:18" x14ac:dyDescent="0.3">
      <c r="A92" t="s">
        <v>43</v>
      </c>
      <c r="B92">
        <v>0</v>
      </c>
      <c r="C92">
        <v>35</v>
      </c>
      <c r="D92">
        <v>15</v>
      </c>
      <c r="E92">
        <v>195</v>
      </c>
      <c r="F92">
        <v>40</v>
      </c>
      <c r="G92">
        <v>2</v>
      </c>
      <c r="H92">
        <v>1</v>
      </c>
      <c r="I92">
        <v>0</v>
      </c>
      <c r="J92">
        <v>1</v>
      </c>
      <c r="K92">
        <v>1</v>
      </c>
      <c r="L92">
        <v>1</v>
      </c>
      <c r="M92">
        <v>1</v>
      </c>
      <c r="N92">
        <v>1</v>
      </c>
      <c r="O92">
        <v>238</v>
      </c>
      <c r="P92">
        <v>1</v>
      </c>
      <c r="Q92">
        <v>20</v>
      </c>
      <c r="R92">
        <v>649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tabSelected="1" workbookViewId="0">
      <selection activeCell="I12" sqref="I12"/>
    </sheetView>
  </sheetViews>
  <sheetFormatPr defaultRowHeight="14.4" x14ac:dyDescent="0.3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Input</vt:lpstr>
      <vt:lpstr>Output</vt:lpstr>
      <vt:lpstr>Charts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Unit Member</cp:lastModifiedBy>
  <cp:lastPrinted>2018-09-06T02:22:12Z</cp:lastPrinted>
  <dcterms:created xsi:type="dcterms:W3CDTF">2017-01-03T01:28:09Z</dcterms:created>
  <dcterms:modified xsi:type="dcterms:W3CDTF">2020-12-16T05:18:26Z</dcterms:modified>
</cp:coreProperties>
</file>