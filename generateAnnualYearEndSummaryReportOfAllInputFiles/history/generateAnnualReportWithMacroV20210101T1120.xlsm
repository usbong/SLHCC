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add-on software\generateAnnualYearEndSummaryReportOfAllInputFiles\"/>
    </mc:Choice>
  </mc:AlternateContent>
  <bookViews>
    <workbookView xWindow="0" yWindow="780" windowWidth="15360" windowHeight="4500" activeTab="3"/>
  </bookViews>
  <sheets>
    <sheet name="Gabay" sheetId="24" r:id="rId1"/>
    <sheet name="Input" sheetId="33" r:id="rId2"/>
    <sheet name="Output" sheetId="112" r:id="rId3"/>
    <sheet name="OutputChart" sheetId="113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<sst xmlns="http://schemas.openxmlformats.org/spreadsheetml/2006/main" count="154" uniqueCount="97">
  <si>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</si>
  <si>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</si>
  <si>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</si>
  <si>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</si>
  <si>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</si>
  <si>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</si>
  <si>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</si>
  <si>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</si>
  <si>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</si>
  <si>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</si>
  <si>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</si>
  <si>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</si>
  <si>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</si>
  <si>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</si>
  <si>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</si>
  <si>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</si>
  <si>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</si>
  <si>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</si>
  <si>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</si>
  <si>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</si>
  <si>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</si>
  <si>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</si>
  <si>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</si>
  <si>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</si>
  <si>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</si>
  <si>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</si>
  <si>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</si>
  <si>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</si>
  <si>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</si>
  <si>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</si>
  <si>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</si>
  <si>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</si>
  <si>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</si>
  <si>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</si>
  <si>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</si>
  <si>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</si>
  <si>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</si>
  <si>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ang pagkasunod ng mga sumunod na hanay bilang data mula sa mga Treatment input worksheet.</t>
  </si>
  <si>
    <t>Annual Year End Summary Report</t>
  </si>
  <si>
    <t>TREATMENT COUNT:</t>
  </si>
  <si>
    <t>CONSULTATION COUNT:</t>
  </si>
  <si>
    <t>PROCEDURE COUNT:</t>
  </si>
  <si>
    <t>MEDICAL CERTIFICATE COUNT:</t>
  </si>
  <si>
    <t>TOTAL:</t>
  </si>
  <si>
    <t>SLR</t>
  </si>
  <si>
    <t>SLR (C/O DAVIES TECHNICAL SOL'S INC )</t>
  </si>
  <si>
    <t>MEDICAL CERTIFICATE</t>
  </si>
  <si>
    <t>NO CHARGE</t>
  </si>
  <si>
    <t>PWD</t>
  </si>
  <si>
    <t>SC</t>
  </si>
  <si>
    <t>SLC</t>
  </si>
  <si>
    <t>WI</t>
  </si>
  <si>
    <t>WI (C/O MACDO)</t>
  </si>
  <si>
    <t>WI (C/O MIRIAM COLLEGE)</t>
  </si>
  <si>
    <t>HMO</t>
  </si>
  <si>
    <t>NEW PATIENT REFERRAL COUNT:</t>
  </si>
  <si>
    <t>DR. CHAUNCEY KESTER LIM</t>
  </si>
  <si>
    <t>DR. DAVID BRYAN MONTENEGRO</t>
  </si>
  <si>
    <t>DR. HONESTO LASAM</t>
  </si>
  <si>
    <t>DR. JHONSEL ESPINOSA</t>
  </si>
  <si>
    <t>DR. KEVIN CHAN</t>
  </si>
  <si>
    <t>DR. LUIS REY RODRIGUEZ</t>
  </si>
  <si>
    <t>DR. NARCISO DIOKNO</t>
  </si>
  <si>
    <t>DR. PEDRO SYSON</t>
  </si>
  <si>
    <t>DR. PETER ALBERT SYSON</t>
  </si>
  <si>
    <t>DR. RODIL DELA PAZ</t>
  </si>
  <si>
    <t>DRA. ANNA LIZA VIRTUCIO</t>
  </si>
  <si>
    <t>DRA. CHASTITY AMOR REJUSO</t>
  </si>
  <si>
    <t>DRA. CHRISTINE GRACE GERIO</t>
  </si>
  <si>
    <t>DRA. GRACIA CIELO BALCE</t>
  </si>
  <si>
    <t>DRA. LETIZIA ROSELL</t>
  </si>
  <si>
    <t>DRA. LYDE MAGPANTAY</t>
  </si>
  <si>
    <t>DRA. MELISSA LABTIG</t>
  </si>
  <si>
    <t>DRA. MERZIA ROSELL</t>
  </si>
  <si>
    <t>DRA. REGINA ESPINOSA</t>
  </si>
  <si>
    <t>DRA. SHELLEY EVANGELISTA</t>
  </si>
  <si>
    <t>DRA. TERESITA JOY EVANGELISTA</t>
  </si>
  <si>
    <t>CONSULTATION COUNT under each CLASSIFICATION</t>
  </si>
  <si>
    <t>MEDICAL DOCTOR NAME</t>
  </si>
  <si>
    <t>ASIANLIFE</t>
  </si>
  <si>
    <t>AVEGA</t>
  </si>
  <si>
    <t>BENLIFECARE</t>
  </si>
  <si>
    <t>CAREHEALTHPLUS</t>
  </si>
  <si>
    <t>COCOLIFE</t>
  </si>
  <si>
    <t>EASTWEST</t>
  </si>
  <si>
    <t>ETIQA</t>
  </si>
  <si>
    <t>GENERALIPHIL</t>
  </si>
  <si>
    <t>GETWELL</t>
  </si>
  <si>
    <t>HMI</t>
  </si>
  <si>
    <t>INTELLICARE</t>
  </si>
  <si>
    <t>KAISERINTERNATIONAL</t>
  </si>
  <si>
    <t>MAXICARE</t>
  </si>
  <si>
    <t>MEDASIA</t>
  </si>
  <si>
    <t>MEDICARD</t>
  </si>
  <si>
    <t>PACIFICCROSS</t>
  </si>
  <si>
    <t>PHILCARE</t>
  </si>
  <si>
    <t>VALUCARE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</si>
</sst>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5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  <xf numFmtId="17" fontId="0" fillId="0" borderId="0" xfId="0" applyNumberFormat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HMO Treatment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Output!$A$18:$A$35</c:f>
              <c:strCache>
                <c:ptCount val="18"/>
                <c:pt idx="0">
                  <c:v>ASIANLIFE</c:v>
                </c:pt>
                <c:pt idx="1">
                  <c:v>AVEGA</c:v>
                </c:pt>
                <c:pt idx="2">
                  <c:v>BENLIFECARE</c:v>
                </c:pt>
                <c:pt idx="3">
                  <c:v>CAREHEALTHPLUS</c:v>
                </c:pt>
                <c:pt idx="4">
                  <c:v>COCOLIFE</c:v>
                </c:pt>
                <c:pt idx="5">
                  <c:v>EASTWEST</c:v>
                </c:pt>
                <c:pt idx="6">
                  <c:v>ETIQA</c:v>
                </c:pt>
                <c:pt idx="7">
                  <c:v>GENERALIPHIL</c:v>
                </c:pt>
                <c:pt idx="8">
                  <c:v>GETWELL</c:v>
                </c:pt>
                <c:pt idx="9">
                  <c:v>HMI</c:v>
                </c:pt>
                <c:pt idx="10">
                  <c:v>INTELLICARE</c:v>
                </c:pt>
                <c:pt idx="11">
                  <c:v>KAISERINTERNATIONAL</c:v>
                </c:pt>
                <c:pt idx="12">
                  <c:v>MAXICARE</c:v>
                </c:pt>
                <c:pt idx="13">
                  <c:v>MEDASIA</c:v>
                </c:pt>
                <c:pt idx="14">
                  <c:v>MEDICARD</c:v>
                </c:pt>
                <c:pt idx="15">
                  <c:v>PACIFICCROSS</c:v>
                </c:pt>
                <c:pt idx="16">
                  <c:v>PHILCARE</c:v>
                </c:pt>
                <c:pt idx="17">
                  <c:v>VALUCARE</c:v>
                </c:pt>
              </c:strCache>
            </c:strRef>
          </c:cat>
          <c:val>
            <c:numRef>
              <c:f>Output!$B$18:$B$35</c:f>
              <c:numCache>
                <c:formatCode>General</c:formatCode>
                <c:ptCount val="18"/>
                <c:pt idx="0">
                  <c:v>34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36</c:v>
                </c:pt>
                <c:pt idx="5">
                  <c:v>6</c:v>
                </c:pt>
                <c:pt idx="6">
                  <c:v>10</c:v>
                </c:pt>
                <c:pt idx="7">
                  <c:v>9</c:v>
                </c:pt>
                <c:pt idx="8">
                  <c:v>0</c:v>
                </c:pt>
                <c:pt idx="9">
                  <c:v>12</c:v>
                </c:pt>
                <c:pt idx="10">
                  <c:v>180</c:v>
                </c:pt>
                <c:pt idx="11">
                  <c:v>0</c:v>
                </c:pt>
                <c:pt idx="12">
                  <c:v>230</c:v>
                </c:pt>
                <c:pt idx="13">
                  <c:v>0</c:v>
                </c:pt>
                <c:pt idx="14">
                  <c:v>120</c:v>
                </c:pt>
                <c:pt idx="15">
                  <c:v>3</c:v>
                </c:pt>
                <c:pt idx="16">
                  <c:v>21</c:v>
                </c:pt>
                <c:pt idx="17">
                  <c:v>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22608"/>
        <c:axId val="212823168"/>
      </c:barChart>
      <c:catAx>
        <c:axId val="21282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23168"/>
        <c:crosses val="autoZero"/>
        <c:auto val="1"/>
        <c:lblAlgn val="ctr"/>
        <c:lblOffset val="100"/>
        <c:noMultiLvlLbl val="0"/>
      </c:catAx>
      <c:valAx>
        <c:axId val="2128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2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HMO Consultation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Output!$A$18:$A$35</c:f>
              <c:strCache>
                <c:ptCount val="18"/>
                <c:pt idx="0">
                  <c:v>ASIANLIFE</c:v>
                </c:pt>
                <c:pt idx="1">
                  <c:v>AVEGA</c:v>
                </c:pt>
                <c:pt idx="2">
                  <c:v>BENLIFECARE</c:v>
                </c:pt>
                <c:pt idx="3">
                  <c:v>CAREHEALTHPLUS</c:v>
                </c:pt>
                <c:pt idx="4">
                  <c:v>COCOLIFE</c:v>
                </c:pt>
                <c:pt idx="5">
                  <c:v>EASTWEST</c:v>
                </c:pt>
                <c:pt idx="6">
                  <c:v>ETIQA</c:v>
                </c:pt>
                <c:pt idx="7">
                  <c:v>GENERALIPHIL</c:v>
                </c:pt>
                <c:pt idx="8">
                  <c:v>GETWELL</c:v>
                </c:pt>
                <c:pt idx="9">
                  <c:v>HMI</c:v>
                </c:pt>
                <c:pt idx="10">
                  <c:v>INTELLICARE</c:v>
                </c:pt>
                <c:pt idx="11">
                  <c:v>KAISERINTERNATIONAL</c:v>
                </c:pt>
                <c:pt idx="12">
                  <c:v>MAXICARE</c:v>
                </c:pt>
                <c:pt idx="13">
                  <c:v>MEDASIA</c:v>
                </c:pt>
                <c:pt idx="14">
                  <c:v>MEDICARD</c:v>
                </c:pt>
                <c:pt idx="15">
                  <c:v>PACIFICCROSS</c:v>
                </c:pt>
                <c:pt idx="16">
                  <c:v>PHILCARE</c:v>
                </c:pt>
                <c:pt idx="17">
                  <c:v>VALUCARE</c:v>
                </c:pt>
              </c:strCache>
            </c:strRef>
          </c:cat>
          <c:val>
            <c:numRef>
              <c:f>Output!$C$18:$C$35</c:f>
              <c:numCache>
                <c:formatCode>General</c:formatCode>
                <c:ptCount val="18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2</c:v>
                </c:pt>
                <c:pt idx="4">
                  <c:v>28</c:v>
                </c:pt>
                <c:pt idx="5">
                  <c:v>4</c:v>
                </c:pt>
                <c:pt idx="6">
                  <c:v>1</c:v>
                </c:pt>
                <c:pt idx="7">
                  <c:v>6</c:v>
                </c:pt>
                <c:pt idx="8">
                  <c:v>3</c:v>
                </c:pt>
                <c:pt idx="9">
                  <c:v>20</c:v>
                </c:pt>
                <c:pt idx="10">
                  <c:v>113</c:v>
                </c:pt>
                <c:pt idx="11">
                  <c:v>1</c:v>
                </c:pt>
                <c:pt idx="12">
                  <c:v>154</c:v>
                </c:pt>
                <c:pt idx="13">
                  <c:v>2</c:v>
                </c:pt>
                <c:pt idx="14">
                  <c:v>64</c:v>
                </c:pt>
                <c:pt idx="15">
                  <c:v>3</c:v>
                </c:pt>
                <c:pt idx="16">
                  <c:v>11</c:v>
                </c:pt>
                <c:pt idx="17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27088"/>
        <c:axId val="212826528"/>
      </c:barChart>
      <c:catAx>
        <c:axId val="21282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26528"/>
        <c:crosses val="autoZero"/>
        <c:auto val="1"/>
        <c:lblAlgn val="ctr"/>
        <c:lblOffset val="100"/>
        <c:noMultiLvlLbl val="0"/>
      </c:catAx>
      <c:valAx>
        <c:axId val="21282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2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Treatment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Output!$B$40</c:f>
              <c:strCache>
                <c:ptCount val="1"/>
                <c:pt idx="0">
                  <c:v>TREATMENT COUNT: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Output!$A$41:$A$50</c:f>
              <c:strCache>
                <c:ptCount val="10"/>
                <c:pt idx="0">
                  <c:v>MEDICAL CERTIFICATE</c:v>
                </c:pt>
                <c:pt idx="1">
                  <c:v>NO CHARGE</c:v>
                </c:pt>
                <c:pt idx="2">
                  <c:v>PWD</c:v>
                </c:pt>
                <c:pt idx="3">
                  <c:v>SC</c:v>
                </c:pt>
                <c:pt idx="4">
                  <c:v>SLC</c:v>
                </c:pt>
                <c:pt idx="5">
                  <c:v>WI</c:v>
                </c:pt>
                <c:pt idx="6">
                  <c:v>WI (C/O MACDO)</c:v>
                </c:pt>
                <c:pt idx="7">
                  <c:v>WI (C/O MIRIAM COLLEGE)</c:v>
                </c:pt>
                <c:pt idx="8">
                  <c:v>HMO</c:v>
                </c:pt>
                <c:pt idx="9">
                  <c:v>SLR</c:v>
                </c:pt>
              </c:strCache>
            </c:strRef>
          </c:cat>
          <c:val>
            <c:numRef>
              <c:f>Output!$B$41:$B$50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130</c:v>
                </c:pt>
                <c:pt idx="3">
                  <c:v>419</c:v>
                </c:pt>
                <c:pt idx="4">
                  <c:v>24</c:v>
                </c:pt>
                <c:pt idx="5">
                  <c:v>316</c:v>
                </c:pt>
                <c:pt idx="6">
                  <c:v>0</c:v>
                </c:pt>
                <c:pt idx="7">
                  <c:v>1</c:v>
                </c:pt>
                <c:pt idx="8">
                  <c:v>691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190688"/>
        <c:axId val="210191248"/>
      </c:barChart>
      <c:catAx>
        <c:axId val="21019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91248"/>
        <c:crosses val="autoZero"/>
        <c:auto val="1"/>
        <c:lblAlgn val="ctr"/>
        <c:lblOffset val="100"/>
        <c:noMultiLvlLbl val="0"/>
      </c:catAx>
      <c:valAx>
        <c:axId val="21019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9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Consultation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Output!$C$40</c:f>
              <c:strCache>
                <c:ptCount val="1"/>
                <c:pt idx="0">
                  <c:v>CONSULTATION COUNT: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Output!$A$41:$A$50</c:f>
              <c:strCache>
                <c:ptCount val="10"/>
                <c:pt idx="0">
                  <c:v>MEDICAL CERTIFICATE</c:v>
                </c:pt>
                <c:pt idx="1">
                  <c:v>NO CHARGE</c:v>
                </c:pt>
                <c:pt idx="2">
                  <c:v>PWD</c:v>
                </c:pt>
                <c:pt idx="3">
                  <c:v>SC</c:v>
                </c:pt>
                <c:pt idx="4">
                  <c:v>SLC</c:v>
                </c:pt>
                <c:pt idx="5">
                  <c:v>WI</c:v>
                </c:pt>
                <c:pt idx="6">
                  <c:v>WI (C/O MACDO)</c:v>
                </c:pt>
                <c:pt idx="7">
                  <c:v>WI (C/O MIRIAM COLLEGE)</c:v>
                </c:pt>
                <c:pt idx="8">
                  <c:v>HMO</c:v>
                </c:pt>
                <c:pt idx="9">
                  <c:v>SLR</c:v>
                </c:pt>
              </c:strCache>
            </c:strRef>
          </c:cat>
          <c:val>
            <c:numRef>
              <c:f>Output!$C$41:$C$50</c:f>
              <c:numCache>
                <c:formatCode>General</c:formatCode>
                <c:ptCount val="10"/>
                <c:pt idx="0">
                  <c:v>0</c:v>
                </c:pt>
                <c:pt idx="1">
                  <c:v>13</c:v>
                </c:pt>
                <c:pt idx="2">
                  <c:v>8</c:v>
                </c:pt>
                <c:pt idx="3">
                  <c:v>117</c:v>
                </c:pt>
                <c:pt idx="4">
                  <c:v>11</c:v>
                </c:pt>
                <c:pt idx="5">
                  <c:v>159</c:v>
                </c:pt>
                <c:pt idx="6">
                  <c:v>3</c:v>
                </c:pt>
                <c:pt idx="7">
                  <c:v>0</c:v>
                </c:pt>
                <c:pt idx="8">
                  <c:v>451</c:v>
                </c:pt>
                <c:pt idx="9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193488"/>
        <c:axId val="210192928"/>
      </c:barChart>
      <c:catAx>
        <c:axId val="21019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92928"/>
        <c:crosses val="autoZero"/>
        <c:auto val="1"/>
        <c:lblAlgn val="ctr"/>
        <c:lblOffset val="100"/>
        <c:noMultiLvlLbl val="0"/>
      </c:catAx>
      <c:valAx>
        <c:axId val="21019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9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15</xdr:row>
      <xdr:rowOff>0</xdr:rowOff>
    </xdr:to>
    <xdr:graphicFrame macro="">
      <xdr:nvGraphicFramePr>
        <xdr:cNvPr id="2" name="HMO Treat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304800</xdr:colOff>
      <xdr:row>15</xdr:row>
      <xdr:rowOff>0</xdr:rowOff>
    </xdr:to>
    <xdr:graphicFrame macro="">
      <xdr:nvGraphicFramePr>
        <xdr:cNvPr id="3" name="HMO Consultat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7</xdr:col>
      <xdr:colOff>304800</xdr:colOff>
      <xdr:row>31</xdr:row>
      <xdr:rowOff>0</xdr:rowOff>
    </xdr:to>
    <xdr:graphicFrame macro="">
      <xdr:nvGraphicFramePr>
        <xdr:cNvPr id="4" name="Cash Treat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15</xdr:col>
      <xdr:colOff>304800</xdr:colOff>
      <xdr:row>31</xdr:row>
      <xdr:rowOff>0</xdr:rowOff>
    </xdr:to>
    <xdr:graphicFrame macro="">
      <xdr:nvGraphicFramePr>
        <xdr:cNvPr id="5" name="Cash Consultat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2" sqref="A2"/>
    </sheetView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37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33</v>
      </c>
    </row>
    <row r="3" spans="1:4" x14ac:dyDescent="0.3">
      <c r="A3" s="7" t="s">
        <v>34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1">
        <f ca="1">NOW()-365</f>
        <v>43832.472465856481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workbookViewId="0">
      <selection sqref="A1:Z102"/>
    </sheetView>
  </sheetViews>
  <sheetFormatPr defaultRowHeight="14.4" x14ac:dyDescent="0.3"/>
  <cols>
    <col min="1" max="1" width="44.88671875" bestFit="1" customWidth="1"/>
    <col min="2" max="2" width="18.5546875" bestFit="1" customWidth="1"/>
    <col min="3" max="3" width="21.6640625" bestFit="1" customWidth="1"/>
    <col min="4" max="4" width="18.5546875" bestFit="1" customWidth="1"/>
    <col min="5" max="5" width="27" bestFit="1" customWidth="1"/>
    <col min="6" max="6" width="28.77734375" bestFit="1" customWidth="1"/>
    <col min="7" max="7" width="3.88671875" bestFit="1" customWidth="1"/>
    <col min="8" max="8" width="5.21875" bestFit="1" customWidth="1"/>
  </cols>
  <sheetData>
    <row r="1" spans="1:5" x14ac:dyDescent="0.3">
      <c r="A1" t="s">
        <v>38</v>
      </c>
    </row>
    <row r="2" spans="1:5" x14ac:dyDescent="0.3">
      <c r="B2" t="s">
        <v>39</v>
      </c>
      <c r="C2" t="s">
        <v>40</v>
      </c>
      <c r="D2" t="s">
        <v>41</v>
      </c>
      <c r="E2" t="s">
        <v>42</v>
      </c>
    </row>
    <row r="3" spans="1:5" x14ac:dyDescent="0.3">
      <c r="A3" s="14">
        <v>43831</v>
      </c>
      <c r="B3">
        <v>271</v>
      </c>
      <c r="C3">
        <v>129</v>
      </c>
      <c r="D3">
        <v>2</v>
      </c>
      <c r="E3">
        <v>7</v>
      </c>
    </row>
    <row r="4" spans="1:5" x14ac:dyDescent="0.3">
      <c r="A4" s="14">
        <v>43862</v>
      </c>
      <c r="B4">
        <v>277</v>
      </c>
      <c r="C4">
        <v>118</v>
      </c>
      <c r="D4">
        <v>2</v>
      </c>
      <c r="E4">
        <v>10</v>
      </c>
    </row>
    <row r="5" spans="1:5" x14ac:dyDescent="0.3">
      <c r="A5" s="14">
        <v>43891</v>
      </c>
      <c r="B5">
        <v>114</v>
      </c>
      <c r="C5">
        <v>62</v>
      </c>
      <c r="D5">
        <v>3</v>
      </c>
      <c r="E5">
        <v>7</v>
      </c>
    </row>
    <row r="6" spans="1:5" x14ac:dyDescent="0.3">
      <c r="A6" s="14">
        <v>43922</v>
      </c>
      <c r="B6">
        <v>0</v>
      </c>
      <c r="C6">
        <v>0</v>
      </c>
      <c r="D6">
        <v>0</v>
      </c>
      <c r="E6">
        <v>0</v>
      </c>
    </row>
    <row r="7" spans="1:5" x14ac:dyDescent="0.3">
      <c r="A7" s="14">
        <v>43952</v>
      </c>
      <c r="B7">
        <v>0</v>
      </c>
      <c r="C7">
        <v>0</v>
      </c>
      <c r="D7">
        <v>0</v>
      </c>
      <c r="E7">
        <v>0</v>
      </c>
    </row>
    <row r="8" spans="1:5" x14ac:dyDescent="0.3">
      <c r="A8" s="14">
        <v>43983</v>
      </c>
      <c r="B8">
        <v>66</v>
      </c>
      <c r="C8">
        <v>29</v>
      </c>
      <c r="D8">
        <v>3</v>
      </c>
      <c r="E8">
        <v>3</v>
      </c>
    </row>
    <row r="9" spans="1:5" x14ac:dyDescent="0.3">
      <c r="A9" s="14">
        <v>44013</v>
      </c>
      <c r="B9">
        <v>152</v>
      </c>
      <c r="C9">
        <v>59</v>
      </c>
      <c r="D9">
        <v>0</v>
      </c>
      <c r="E9">
        <v>2</v>
      </c>
    </row>
    <row r="10" spans="1:5" x14ac:dyDescent="0.3">
      <c r="A10" s="14">
        <v>44044</v>
      </c>
      <c r="B10">
        <v>64</v>
      </c>
      <c r="C10">
        <v>25</v>
      </c>
      <c r="D10">
        <v>3</v>
      </c>
      <c r="E10">
        <v>2</v>
      </c>
    </row>
    <row r="11" spans="1:5" x14ac:dyDescent="0.3">
      <c r="A11" s="14">
        <v>44075</v>
      </c>
      <c r="B11">
        <v>159</v>
      </c>
      <c r="C11">
        <v>68</v>
      </c>
      <c r="D11">
        <v>4</v>
      </c>
      <c r="E11">
        <v>6</v>
      </c>
    </row>
    <row r="12" spans="1:5" x14ac:dyDescent="0.3">
      <c r="A12" s="14">
        <v>44105</v>
      </c>
      <c r="B12">
        <v>178</v>
      </c>
      <c r="C12">
        <v>92</v>
      </c>
      <c r="D12">
        <v>2</v>
      </c>
      <c r="E12">
        <v>10</v>
      </c>
    </row>
    <row r="13" spans="1:5" x14ac:dyDescent="0.3">
      <c r="A13" s="14">
        <v>44136</v>
      </c>
      <c r="B13">
        <v>144</v>
      </c>
      <c r="C13">
        <v>87</v>
      </c>
      <c r="D13">
        <v>4</v>
      </c>
      <c r="E13">
        <v>8</v>
      </c>
    </row>
    <row r="14" spans="1:5" x14ac:dyDescent="0.3">
      <c r="A14" s="14">
        <v>44166</v>
      </c>
      <c r="B14">
        <v>157</v>
      </c>
      <c r="C14">
        <v>96</v>
      </c>
      <c r="D14">
        <v>9</v>
      </c>
      <c r="E14">
        <v>5</v>
      </c>
    </row>
    <row r="15" spans="1:5" x14ac:dyDescent="0.3">
      <c r="A15" t="s">
        <v>43</v>
      </c>
      <c r="B15">
        <v>1582</v>
      </c>
      <c r="C15">
        <v>765</v>
      </c>
      <c r="D15">
        <v>32</v>
      </c>
      <c r="E15">
        <v>60</v>
      </c>
    </row>
    <row r="17" spans="1:5" x14ac:dyDescent="0.3">
      <c r="B17" t="s">
        <v>39</v>
      </c>
      <c r="C17" t="s">
        <v>40</v>
      </c>
      <c r="D17" t="s">
        <v>41</v>
      </c>
      <c r="E17" t="s">
        <v>42</v>
      </c>
    </row>
    <row r="18" spans="1:5" x14ac:dyDescent="0.3">
      <c r="A18" t="s">
        <v>79</v>
      </c>
      <c r="B18">
        <v>34</v>
      </c>
      <c r="C18">
        <v>9</v>
      </c>
      <c r="D18">
        <v>1</v>
      </c>
      <c r="E18">
        <v>0</v>
      </c>
    </row>
    <row r="19" spans="1:5" x14ac:dyDescent="0.3">
      <c r="A19" t="s">
        <v>80</v>
      </c>
      <c r="B19">
        <v>3</v>
      </c>
      <c r="C19">
        <v>6</v>
      </c>
      <c r="D19">
        <v>0</v>
      </c>
      <c r="E19">
        <v>0</v>
      </c>
    </row>
    <row r="20" spans="1:5" x14ac:dyDescent="0.3">
      <c r="A20" t="s">
        <v>81</v>
      </c>
      <c r="B20">
        <v>5</v>
      </c>
      <c r="C20">
        <v>4</v>
      </c>
      <c r="D20">
        <v>0</v>
      </c>
      <c r="E20">
        <v>0</v>
      </c>
    </row>
    <row r="21" spans="1:5" x14ac:dyDescent="0.3">
      <c r="A21" t="s">
        <v>82</v>
      </c>
      <c r="B21">
        <v>5</v>
      </c>
      <c r="C21">
        <v>2</v>
      </c>
      <c r="D21">
        <v>0</v>
      </c>
      <c r="E21">
        <v>0</v>
      </c>
    </row>
    <row r="22" spans="1:5" x14ac:dyDescent="0.3">
      <c r="A22" t="s">
        <v>83</v>
      </c>
      <c r="B22">
        <v>36</v>
      </c>
      <c r="C22">
        <v>28</v>
      </c>
      <c r="D22">
        <v>0</v>
      </c>
      <c r="E22">
        <v>0</v>
      </c>
    </row>
    <row r="23" spans="1:5" x14ac:dyDescent="0.3">
      <c r="A23" t="s">
        <v>84</v>
      </c>
      <c r="B23">
        <v>6</v>
      </c>
      <c r="C23">
        <v>4</v>
      </c>
      <c r="D23">
        <v>0</v>
      </c>
      <c r="E23">
        <v>0</v>
      </c>
    </row>
    <row r="24" spans="1:5" x14ac:dyDescent="0.3">
      <c r="A24" t="s">
        <v>85</v>
      </c>
      <c r="B24">
        <v>10</v>
      </c>
      <c r="C24">
        <v>1</v>
      </c>
      <c r="D24">
        <v>0</v>
      </c>
      <c r="E24">
        <v>0</v>
      </c>
    </row>
    <row r="25" spans="1:5" x14ac:dyDescent="0.3">
      <c r="A25" t="s">
        <v>86</v>
      </c>
      <c r="B25">
        <v>9</v>
      </c>
      <c r="C25">
        <v>6</v>
      </c>
      <c r="D25">
        <v>1</v>
      </c>
      <c r="E25">
        <v>0</v>
      </c>
    </row>
    <row r="26" spans="1:5" x14ac:dyDescent="0.3">
      <c r="A26" t="s">
        <v>87</v>
      </c>
      <c r="B26">
        <v>0</v>
      </c>
      <c r="C26">
        <v>3</v>
      </c>
      <c r="D26">
        <v>0</v>
      </c>
      <c r="E26">
        <v>0</v>
      </c>
    </row>
    <row r="27" spans="1:5" x14ac:dyDescent="0.3">
      <c r="A27" t="s">
        <v>88</v>
      </c>
      <c r="B27">
        <v>12</v>
      </c>
      <c r="C27">
        <v>20</v>
      </c>
      <c r="D27">
        <v>1</v>
      </c>
      <c r="E27">
        <v>0</v>
      </c>
    </row>
    <row r="28" spans="1:5" x14ac:dyDescent="0.3">
      <c r="A28" t="s">
        <v>89</v>
      </c>
      <c r="B28">
        <v>180</v>
      </c>
      <c r="C28">
        <v>113</v>
      </c>
      <c r="D28">
        <v>4</v>
      </c>
      <c r="E28">
        <v>0</v>
      </c>
    </row>
    <row r="29" spans="1:5" x14ac:dyDescent="0.3">
      <c r="A29" t="s">
        <v>90</v>
      </c>
      <c r="B29">
        <v>0</v>
      </c>
      <c r="C29">
        <v>1</v>
      </c>
      <c r="D29">
        <v>0</v>
      </c>
      <c r="E29">
        <v>0</v>
      </c>
    </row>
    <row r="30" spans="1:5" x14ac:dyDescent="0.3">
      <c r="A30" t="s">
        <v>91</v>
      </c>
      <c r="B30">
        <v>230</v>
      </c>
      <c r="C30">
        <v>154</v>
      </c>
      <c r="D30">
        <v>6</v>
      </c>
      <c r="E30">
        <v>0</v>
      </c>
    </row>
    <row r="31" spans="1:5" x14ac:dyDescent="0.3">
      <c r="A31" t="s">
        <v>92</v>
      </c>
      <c r="B31">
        <v>0</v>
      </c>
      <c r="C31">
        <v>2</v>
      </c>
      <c r="D31">
        <v>0</v>
      </c>
      <c r="E31">
        <v>0</v>
      </c>
    </row>
    <row r="32" spans="1:5" x14ac:dyDescent="0.3">
      <c r="A32" t="s">
        <v>93</v>
      </c>
      <c r="B32">
        <v>120</v>
      </c>
      <c r="C32">
        <v>64</v>
      </c>
      <c r="D32">
        <v>3</v>
      </c>
      <c r="E32">
        <v>0</v>
      </c>
    </row>
    <row r="33" spans="1:5" x14ac:dyDescent="0.3">
      <c r="A33" t="s">
        <v>94</v>
      </c>
      <c r="B33">
        <v>3</v>
      </c>
      <c r="C33">
        <v>3</v>
      </c>
      <c r="D33">
        <v>0</v>
      </c>
      <c r="E33">
        <v>0</v>
      </c>
    </row>
    <row r="34" spans="1:5" x14ac:dyDescent="0.3">
      <c r="A34" t="s">
        <v>95</v>
      </c>
      <c r="B34">
        <v>21</v>
      </c>
      <c r="C34">
        <v>11</v>
      </c>
      <c r="D34">
        <v>0</v>
      </c>
      <c r="E34">
        <v>0</v>
      </c>
    </row>
    <row r="35" spans="1:5" x14ac:dyDescent="0.3">
      <c r="A35" t="s">
        <v>96</v>
      </c>
      <c r="B35">
        <v>17</v>
      </c>
      <c r="C35">
        <v>20</v>
      </c>
      <c r="D35">
        <v>0</v>
      </c>
      <c r="E35">
        <v>0</v>
      </c>
    </row>
    <row r="36" spans="1:5" x14ac:dyDescent="0.3">
      <c r="A36" t="s">
        <v>44</v>
      </c>
      <c r="B36">
        <v>0</v>
      </c>
      <c r="C36">
        <v>1</v>
      </c>
      <c r="D36">
        <v>0</v>
      </c>
      <c r="E36">
        <v>0</v>
      </c>
    </row>
    <row r="37" spans="1:5" x14ac:dyDescent="0.3">
      <c r="A37" t="s">
        <v>45</v>
      </c>
      <c r="B37">
        <v>0</v>
      </c>
      <c r="C37">
        <v>2</v>
      </c>
      <c r="D37">
        <v>0</v>
      </c>
      <c r="E37">
        <v>0</v>
      </c>
    </row>
    <row r="38" spans="1:5" x14ac:dyDescent="0.3">
      <c r="A38" t="s">
        <v>43</v>
      </c>
      <c r="B38">
        <v>691</v>
      </c>
      <c r="C38">
        <v>451</v>
      </c>
      <c r="D38">
        <v>16</v>
      </c>
      <c r="E38">
        <v>0</v>
      </c>
    </row>
    <row r="40" spans="1:5" x14ac:dyDescent="0.3">
      <c r="B40" t="s">
        <v>39</v>
      </c>
      <c r="C40" t="s">
        <v>40</v>
      </c>
      <c r="D40" t="s">
        <v>41</v>
      </c>
      <c r="E40" t="s">
        <v>42</v>
      </c>
    </row>
    <row r="41" spans="1:5" x14ac:dyDescent="0.3">
      <c r="A41" t="s">
        <v>46</v>
      </c>
      <c r="B41">
        <v>0</v>
      </c>
      <c r="C41">
        <v>0</v>
      </c>
      <c r="D41">
        <v>0</v>
      </c>
      <c r="E41">
        <v>60</v>
      </c>
    </row>
    <row r="42" spans="1:5" x14ac:dyDescent="0.3">
      <c r="A42" t="s">
        <v>47</v>
      </c>
      <c r="B42">
        <v>1</v>
      </c>
      <c r="C42">
        <v>13</v>
      </c>
      <c r="D42">
        <v>0</v>
      </c>
      <c r="E42">
        <v>0</v>
      </c>
    </row>
    <row r="43" spans="1:5" x14ac:dyDescent="0.3">
      <c r="A43" t="s">
        <v>48</v>
      </c>
      <c r="B43">
        <v>130</v>
      </c>
      <c r="C43">
        <v>8</v>
      </c>
      <c r="D43">
        <v>0</v>
      </c>
      <c r="E43">
        <v>0</v>
      </c>
    </row>
    <row r="44" spans="1:5" x14ac:dyDescent="0.3">
      <c r="A44" t="s">
        <v>49</v>
      </c>
      <c r="B44">
        <v>419</v>
      </c>
      <c r="C44">
        <v>117</v>
      </c>
      <c r="D44">
        <v>6</v>
      </c>
      <c r="E44">
        <v>0</v>
      </c>
    </row>
    <row r="45" spans="1:5" x14ac:dyDescent="0.3">
      <c r="A45" t="s">
        <v>50</v>
      </c>
      <c r="B45">
        <v>24</v>
      </c>
      <c r="C45">
        <v>11</v>
      </c>
      <c r="D45">
        <v>1</v>
      </c>
      <c r="E45">
        <v>0</v>
      </c>
    </row>
    <row r="46" spans="1:5" x14ac:dyDescent="0.3">
      <c r="A46" t="s">
        <v>51</v>
      </c>
      <c r="B46">
        <v>316</v>
      </c>
      <c r="C46">
        <v>159</v>
      </c>
      <c r="D46">
        <v>9</v>
      </c>
      <c r="E46">
        <v>0</v>
      </c>
    </row>
    <row r="47" spans="1:5" x14ac:dyDescent="0.3">
      <c r="A47" t="s">
        <v>52</v>
      </c>
      <c r="B47">
        <v>0</v>
      </c>
      <c r="C47">
        <v>3</v>
      </c>
      <c r="D47">
        <v>0</v>
      </c>
      <c r="E47">
        <v>0</v>
      </c>
    </row>
    <row r="48" spans="1:5" x14ac:dyDescent="0.3">
      <c r="A48" t="s">
        <v>53</v>
      </c>
      <c r="B48">
        <v>1</v>
      </c>
      <c r="C48">
        <v>0</v>
      </c>
      <c r="D48">
        <v>0</v>
      </c>
      <c r="E48">
        <v>0</v>
      </c>
    </row>
    <row r="49" spans="1:6" x14ac:dyDescent="0.3">
      <c r="A49" t="s">
        <v>54</v>
      </c>
      <c r="B49">
        <v>691</v>
      </c>
      <c r="C49">
        <v>451</v>
      </c>
      <c r="D49">
        <v>16</v>
      </c>
      <c r="E49">
        <v>0</v>
      </c>
    </row>
    <row r="50" spans="1:6" x14ac:dyDescent="0.3">
      <c r="A50" t="s">
        <v>44</v>
      </c>
      <c r="B50">
        <v>0</v>
      </c>
      <c r="C50">
        <v>3</v>
      </c>
      <c r="D50">
        <v>0</v>
      </c>
      <c r="E50">
        <v>0</v>
      </c>
    </row>
    <row r="51" spans="1:6" x14ac:dyDescent="0.3">
      <c r="A51" t="s">
        <v>43</v>
      </c>
      <c r="B51">
        <v>1582</v>
      </c>
      <c r="C51">
        <v>765</v>
      </c>
      <c r="D51">
        <v>32</v>
      </c>
      <c r="E51">
        <v>60</v>
      </c>
    </row>
    <row r="53" spans="1:6" x14ac:dyDescent="0.3">
      <c r="B53" t="s">
        <v>39</v>
      </c>
      <c r="C53" t="s">
        <v>40</v>
      </c>
      <c r="D53" t="s">
        <v>41</v>
      </c>
      <c r="E53" t="s">
        <v>42</v>
      </c>
      <c r="F53" t="s">
        <v>55</v>
      </c>
    </row>
    <row r="54" spans="1:6" x14ac:dyDescent="0.3">
      <c r="A54" t="s">
        <v>56</v>
      </c>
      <c r="B54">
        <v>6</v>
      </c>
      <c r="C54">
        <v>0</v>
      </c>
      <c r="D54">
        <v>0</v>
      </c>
      <c r="E54">
        <v>0</v>
      </c>
      <c r="F54">
        <v>1</v>
      </c>
    </row>
    <row r="55" spans="1:6" x14ac:dyDescent="0.3">
      <c r="A55" t="s">
        <v>57</v>
      </c>
      <c r="B55">
        <v>37</v>
      </c>
      <c r="C55">
        <v>72</v>
      </c>
      <c r="D55">
        <v>0</v>
      </c>
      <c r="E55">
        <v>7</v>
      </c>
      <c r="F55">
        <v>11</v>
      </c>
    </row>
    <row r="56" spans="1:6" x14ac:dyDescent="0.3">
      <c r="A56" t="s">
        <v>58</v>
      </c>
      <c r="B56">
        <v>156</v>
      </c>
      <c r="C56">
        <v>94</v>
      </c>
      <c r="D56">
        <v>0</v>
      </c>
      <c r="E56">
        <v>2</v>
      </c>
      <c r="F56">
        <v>31</v>
      </c>
    </row>
    <row r="57" spans="1:6" x14ac:dyDescent="0.3">
      <c r="A57" t="s">
        <v>59</v>
      </c>
      <c r="B57">
        <v>5</v>
      </c>
      <c r="C57">
        <v>0</v>
      </c>
      <c r="D57">
        <v>0</v>
      </c>
      <c r="E57">
        <v>0</v>
      </c>
      <c r="F57">
        <v>0</v>
      </c>
    </row>
    <row r="58" spans="1:6" x14ac:dyDescent="0.3">
      <c r="A58" t="s">
        <v>60</v>
      </c>
      <c r="B58">
        <v>1</v>
      </c>
      <c r="C58">
        <v>0</v>
      </c>
      <c r="D58">
        <v>0</v>
      </c>
      <c r="E58">
        <v>0</v>
      </c>
      <c r="F58">
        <v>1</v>
      </c>
    </row>
    <row r="59" spans="1:6" x14ac:dyDescent="0.3">
      <c r="A59" t="s">
        <v>61</v>
      </c>
      <c r="B59">
        <v>229</v>
      </c>
      <c r="C59">
        <v>284</v>
      </c>
      <c r="D59">
        <v>24</v>
      </c>
      <c r="E59">
        <v>37</v>
      </c>
      <c r="F59">
        <v>29</v>
      </c>
    </row>
    <row r="60" spans="1:6" x14ac:dyDescent="0.3">
      <c r="A60" t="s">
        <v>62</v>
      </c>
      <c r="B60">
        <v>4</v>
      </c>
      <c r="C60">
        <v>0</v>
      </c>
      <c r="D60">
        <v>0</v>
      </c>
      <c r="E60">
        <v>0</v>
      </c>
      <c r="F60">
        <v>0</v>
      </c>
    </row>
    <row r="61" spans="1:6" x14ac:dyDescent="0.3">
      <c r="A61" t="s">
        <v>63</v>
      </c>
      <c r="B61">
        <v>497</v>
      </c>
      <c r="C61">
        <v>63</v>
      </c>
      <c r="D61">
        <v>0</v>
      </c>
      <c r="E61">
        <v>1</v>
      </c>
      <c r="F61">
        <v>66</v>
      </c>
    </row>
    <row r="62" spans="1:6" x14ac:dyDescent="0.3">
      <c r="A62" t="s">
        <v>64</v>
      </c>
      <c r="B62">
        <v>119</v>
      </c>
      <c r="C62">
        <v>0</v>
      </c>
      <c r="D62">
        <v>0</v>
      </c>
      <c r="E62">
        <v>0</v>
      </c>
      <c r="F62">
        <v>15</v>
      </c>
    </row>
    <row r="63" spans="1:6" x14ac:dyDescent="0.3">
      <c r="A63" t="s">
        <v>65</v>
      </c>
      <c r="B63">
        <v>189</v>
      </c>
      <c r="C63">
        <v>136</v>
      </c>
      <c r="D63">
        <v>6</v>
      </c>
      <c r="E63">
        <v>7</v>
      </c>
      <c r="F63">
        <v>24</v>
      </c>
    </row>
    <row r="64" spans="1:6" x14ac:dyDescent="0.3">
      <c r="A64" t="s">
        <v>66</v>
      </c>
      <c r="B64">
        <v>37</v>
      </c>
      <c r="C64">
        <v>0</v>
      </c>
      <c r="D64">
        <v>0</v>
      </c>
      <c r="E64">
        <v>0</v>
      </c>
      <c r="F64">
        <v>2</v>
      </c>
    </row>
    <row r="65" spans="1:8" x14ac:dyDescent="0.3">
      <c r="A65" t="s">
        <v>67</v>
      </c>
      <c r="B65">
        <v>22</v>
      </c>
      <c r="C65">
        <v>2</v>
      </c>
      <c r="D65">
        <v>0</v>
      </c>
      <c r="E65">
        <v>0</v>
      </c>
      <c r="F65">
        <v>3</v>
      </c>
    </row>
    <row r="66" spans="1:8" x14ac:dyDescent="0.3">
      <c r="A66" t="s">
        <v>68</v>
      </c>
      <c r="B66">
        <v>5</v>
      </c>
      <c r="C66">
        <v>0</v>
      </c>
      <c r="D66">
        <v>0</v>
      </c>
      <c r="E66">
        <v>0</v>
      </c>
      <c r="F66">
        <v>1</v>
      </c>
    </row>
    <row r="67" spans="1:8" x14ac:dyDescent="0.3">
      <c r="A67" t="s">
        <v>69</v>
      </c>
      <c r="B67">
        <v>246</v>
      </c>
      <c r="C67">
        <v>114</v>
      </c>
      <c r="D67">
        <v>2</v>
      </c>
      <c r="E67">
        <v>6</v>
      </c>
      <c r="F67">
        <v>36</v>
      </c>
    </row>
    <row r="68" spans="1:8" x14ac:dyDescent="0.3">
      <c r="A68" t="s">
        <v>70</v>
      </c>
      <c r="B68">
        <v>3</v>
      </c>
      <c r="C68">
        <v>0</v>
      </c>
      <c r="D68">
        <v>0</v>
      </c>
      <c r="E68">
        <v>0</v>
      </c>
      <c r="F68">
        <v>1</v>
      </c>
    </row>
    <row r="69" spans="1:8" x14ac:dyDescent="0.3">
      <c r="A69" t="s">
        <v>71</v>
      </c>
      <c r="B69">
        <v>6</v>
      </c>
      <c r="C69">
        <v>0</v>
      </c>
      <c r="D69">
        <v>0</v>
      </c>
      <c r="E69">
        <v>0</v>
      </c>
      <c r="F69">
        <v>0</v>
      </c>
    </row>
    <row r="70" spans="1:8" x14ac:dyDescent="0.3">
      <c r="A70" t="s">
        <v>72</v>
      </c>
      <c r="B70">
        <v>4</v>
      </c>
      <c r="C70">
        <v>0</v>
      </c>
      <c r="D70">
        <v>0</v>
      </c>
      <c r="E70">
        <v>0</v>
      </c>
      <c r="F70">
        <v>1</v>
      </c>
    </row>
    <row r="71" spans="1:8" x14ac:dyDescent="0.3">
      <c r="A71" t="s">
        <v>73</v>
      </c>
      <c r="B71">
        <v>1</v>
      </c>
      <c r="C71">
        <v>0</v>
      </c>
      <c r="D71">
        <v>0</v>
      </c>
      <c r="E71">
        <v>0</v>
      </c>
      <c r="F71">
        <v>1</v>
      </c>
    </row>
    <row r="72" spans="1:8" x14ac:dyDescent="0.3">
      <c r="A72" t="s">
        <v>74</v>
      </c>
      <c r="B72">
        <v>6</v>
      </c>
      <c r="C72">
        <v>0</v>
      </c>
      <c r="D72">
        <v>0</v>
      </c>
      <c r="E72">
        <v>0</v>
      </c>
      <c r="F72">
        <v>1</v>
      </c>
    </row>
    <row r="73" spans="1:8" x14ac:dyDescent="0.3">
      <c r="A73" t="s">
        <v>75</v>
      </c>
      <c r="B73">
        <v>1</v>
      </c>
      <c r="C73">
        <v>0</v>
      </c>
      <c r="D73">
        <v>0</v>
      </c>
      <c r="E73">
        <v>0</v>
      </c>
      <c r="F73">
        <v>1</v>
      </c>
    </row>
    <row r="74" spans="1:8" x14ac:dyDescent="0.3">
      <c r="A74" t="s">
        <v>76</v>
      </c>
      <c r="B74">
        <v>8</v>
      </c>
      <c r="C74">
        <v>0</v>
      </c>
      <c r="D74">
        <v>0</v>
      </c>
      <c r="E74">
        <v>0</v>
      </c>
      <c r="F74">
        <v>0</v>
      </c>
    </row>
    <row r="75" spans="1:8" x14ac:dyDescent="0.3">
      <c r="A75" t="s">
        <v>43</v>
      </c>
      <c r="B75">
        <v>1582</v>
      </c>
      <c r="C75">
        <v>765</v>
      </c>
      <c r="D75">
        <v>32</v>
      </c>
      <c r="E75">
        <v>60</v>
      </c>
      <c r="F75">
        <v>225</v>
      </c>
    </row>
    <row r="77" spans="1:8" x14ac:dyDescent="0.3">
      <c r="A77" t="s">
        <v>77</v>
      </c>
    </row>
    <row r="78" spans="1:8" x14ac:dyDescent="0.3">
      <c r="A78" t="s">
        <v>78</v>
      </c>
      <c r="B78" t="s">
        <v>47</v>
      </c>
      <c r="C78" t="s">
        <v>48</v>
      </c>
      <c r="D78" t="s">
        <v>49</v>
      </c>
      <c r="E78" t="s">
        <v>50</v>
      </c>
      <c r="F78" t="s">
        <v>51</v>
      </c>
      <c r="G78" t="s">
        <v>44</v>
      </c>
      <c r="H78" t="s">
        <v>54</v>
      </c>
    </row>
    <row r="79" spans="1:8" x14ac:dyDescent="0.3">
      <c r="A79" t="s">
        <v>56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</row>
    <row r="80" spans="1:8" x14ac:dyDescent="0.3">
      <c r="A80" t="s">
        <v>57</v>
      </c>
      <c r="B80">
        <v>0</v>
      </c>
      <c r="C80">
        <v>0</v>
      </c>
      <c r="D80">
        <v>6</v>
      </c>
      <c r="E80">
        <v>5</v>
      </c>
      <c r="F80">
        <v>23</v>
      </c>
      <c r="G80">
        <v>0</v>
      </c>
      <c r="H80">
        <v>38</v>
      </c>
    </row>
    <row r="81" spans="1:8" x14ac:dyDescent="0.3">
      <c r="A81" t="s">
        <v>58</v>
      </c>
      <c r="B81">
        <v>1</v>
      </c>
      <c r="C81">
        <v>1</v>
      </c>
      <c r="D81">
        <v>8</v>
      </c>
      <c r="E81">
        <v>1</v>
      </c>
      <c r="F81">
        <v>13</v>
      </c>
      <c r="G81">
        <v>0</v>
      </c>
      <c r="H81">
        <v>70</v>
      </c>
    </row>
    <row r="82" spans="1:8" x14ac:dyDescent="0.3">
      <c r="A82" t="s">
        <v>59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</row>
    <row r="83" spans="1:8" x14ac:dyDescent="0.3">
      <c r="A83" t="s">
        <v>60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</row>
    <row r="84" spans="1:8" x14ac:dyDescent="0.3">
      <c r="A84" t="s">
        <v>61</v>
      </c>
      <c r="B84">
        <v>4</v>
      </c>
      <c r="C84">
        <v>2</v>
      </c>
      <c r="D84">
        <v>40</v>
      </c>
      <c r="E84">
        <v>3</v>
      </c>
      <c r="F84">
        <v>43</v>
      </c>
      <c r="G84">
        <v>3</v>
      </c>
      <c r="H84">
        <v>189</v>
      </c>
    </row>
    <row r="85" spans="1:8" x14ac:dyDescent="0.3">
      <c r="A85" t="s">
        <v>62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</row>
    <row r="86" spans="1:8" x14ac:dyDescent="0.3">
      <c r="A86" t="s">
        <v>63</v>
      </c>
      <c r="B86">
        <v>2</v>
      </c>
      <c r="C86">
        <v>1</v>
      </c>
      <c r="D86">
        <v>16</v>
      </c>
      <c r="E86">
        <v>2</v>
      </c>
      <c r="F86">
        <v>8</v>
      </c>
      <c r="G86">
        <v>0</v>
      </c>
      <c r="H86">
        <v>34</v>
      </c>
    </row>
    <row r="87" spans="1:8" x14ac:dyDescent="0.3">
      <c r="A87" t="s">
        <v>64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 x14ac:dyDescent="0.3">
      <c r="A88" t="s">
        <v>65</v>
      </c>
      <c r="B88">
        <v>5</v>
      </c>
      <c r="C88">
        <v>0</v>
      </c>
      <c r="D88">
        <v>34</v>
      </c>
      <c r="E88">
        <v>0</v>
      </c>
      <c r="F88">
        <v>36</v>
      </c>
      <c r="G88">
        <v>0</v>
      </c>
      <c r="H88">
        <v>61</v>
      </c>
    </row>
    <row r="89" spans="1:8" x14ac:dyDescent="0.3">
      <c r="A89" t="s">
        <v>66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</row>
    <row r="90" spans="1:8" x14ac:dyDescent="0.3">
      <c r="A90" t="s">
        <v>67</v>
      </c>
      <c r="B90">
        <v>1</v>
      </c>
      <c r="C90">
        <v>0</v>
      </c>
      <c r="D90">
        <v>0</v>
      </c>
      <c r="E90">
        <v>0</v>
      </c>
      <c r="F90">
        <v>1</v>
      </c>
      <c r="G90">
        <v>0</v>
      </c>
      <c r="H90">
        <v>0</v>
      </c>
    </row>
    <row r="91" spans="1:8" x14ac:dyDescent="0.3">
      <c r="A91" t="s">
        <v>68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</row>
    <row r="92" spans="1:8" x14ac:dyDescent="0.3">
      <c r="A92" t="s">
        <v>69</v>
      </c>
      <c r="B92">
        <v>0</v>
      </c>
      <c r="C92">
        <v>4</v>
      </c>
      <c r="D92">
        <v>13</v>
      </c>
      <c r="E92">
        <v>0</v>
      </c>
      <c r="F92">
        <v>38</v>
      </c>
      <c r="G92">
        <v>0</v>
      </c>
      <c r="H92">
        <v>59</v>
      </c>
    </row>
    <row r="93" spans="1:8" x14ac:dyDescent="0.3">
      <c r="A93" t="s">
        <v>70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</row>
    <row r="94" spans="1:8" x14ac:dyDescent="0.3">
      <c r="A94" t="s">
        <v>71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</row>
    <row r="95" spans="1:8" x14ac:dyDescent="0.3">
      <c r="A95" t="s">
        <v>72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</row>
    <row r="96" spans="1:8" x14ac:dyDescent="0.3">
      <c r="A96" t="s">
        <v>73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</row>
    <row r="97" spans="1:8" x14ac:dyDescent="0.3">
      <c r="A97" t="s">
        <v>74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</row>
    <row r="98" spans="1:8" x14ac:dyDescent="0.3">
      <c r="A98" t="s">
        <v>75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</row>
    <row r="99" spans="1:8" x14ac:dyDescent="0.3">
      <c r="A99" t="s">
        <v>76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</row>
    <row r="100" spans="1:8" x14ac:dyDescent="0.3">
      <c r="A100" t="s">
        <v>43</v>
      </c>
      <c r="B100">
        <v>13</v>
      </c>
      <c r="C100">
        <v>8</v>
      </c>
      <c r="D100">
        <v>117</v>
      </c>
      <c r="E100">
        <v>11</v>
      </c>
      <c r="F100">
        <v>162</v>
      </c>
      <c r="G100">
        <v>3</v>
      </c>
      <c r="H100">
        <v>451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80" zoomScaleNormal="80"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Input</vt:lpstr>
      <vt:lpstr>Output</vt:lpstr>
      <vt:lpstr>OutputChart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2021-01-01T03:20:21Z</dcterms:modified>
</cp:coreProperties>
</file>