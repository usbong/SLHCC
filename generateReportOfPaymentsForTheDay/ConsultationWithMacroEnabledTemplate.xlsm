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GitHub\slhcc\generateReportOfPaymentsForTheDay\"/>
    </mc:Choice>
  </mc:AlternateContent>
  <bookViews>
    <workbookView xWindow="0" yWindow="3540" windowWidth="15360" windowHeight="1620" tabRatio="786"/>
  </bookViews>
  <sheets>
    <sheet name="201901" sheetId="9" r:id="rId1"/>
    <sheet name="Report_Today_Input" sheetId="13" r:id="rId2"/>
    <sheet name="Report_Today_Output" sheetId="14" r:id="rId3"/>
  </sheets>
  <definedNames>
    <definedName name="_xlnm._FilterDatabase" localSheetId="0" hidden="1">'201901'!$A$1:$AB$2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" i="14" l="1"/>
  <c r="G6" i="14"/>
</calcChain>
</file>

<file path=xl/sharedStrings.xml><?xml version="1.0" encoding="utf-8"?>
<sst xmlns="http://schemas.openxmlformats.org/spreadsheetml/2006/main" count="103" uniqueCount="69">
  <si>
    <t>DATE</t>
  </si>
  <si>
    <t>PATIENT NAME</t>
  </si>
  <si>
    <t>AGE</t>
  </si>
  <si>
    <t>SEX</t>
  </si>
  <si>
    <t>CHIEF COMPLAINT</t>
  </si>
  <si>
    <t>DIAGNOSIS</t>
  </si>
  <si>
    <t>FEE</t>
  </si>
  <si>
    <t>CLASS</t>
  </si>
  <si>
    <t>AMOUNT PAID</t>
  </si>
  <si>
    <t>PROCEDURE</t>
  </si>
  <si>
    <t>CS #</t>
  </si>
  <si>
    <t>SR#</t>
  </si>
  <si>
    <t>OR/APPROVAL</t>
  </si>
  <si>
    <t>DOCTOR</t>
  </si>
  <si>
    <t>NEW/OLD</t>
  </si>
  <si>
    <t>ADDRESS</t>
  </si>
  <si>
    <t>CASE#</t>
  </si>
  <si>
    <t>X-ray PART OF EXAMINE</t>
  </si>
  <si>
    <t>X-ray OFFICIAL READING</t>
  </si>
  <si>
    <t>REMARK</t>
  </si>
  <si>
    <t xml:space="preserve">       LANDLINE:</t>
  </si>
  <si>
    <t xml:space="preserve">  MOBILE:</t>
  </si>
  <si>
    <t>F</t>
  </si>
  <si>
    <t>HMO/Maxicare</t>
  </si>
  <si>
    <t>WI</t>
  </si>
  <si>
    <t>M</t>
  </si>
  <si>
    <t>SC</t>
  </si>
  <si>
    <t>Lumbar Strain</t>
  </si>
  <si>
    <t>HMO/Intellicare</t>
  </si>
  <si>
    <t>New</t>
  </si>
  <si>
    <t>Cainta Rizal</t>
  </si>
  <si>
    <t>Antipolo City</t>
  </si>
  <si>
    <t>Pasig City</t>
  </si>
  <si>
    <t>HMO/Asianlife</t>
  </si>
  <si>
    <t>Old</t>
  </si>
  <si>
    <t>SLC</t>
  </si>
  <si>
    <t>Dr. Honesto Lasam</t>
  </si>
  <si>
    <t>Dr. Pedro Syson</t>
  </si>
  <si>
    <t>NET PF:</t>
  </si>
  <si>
    <t>HNP</t>
  </si>
  <si>
    <t>DATE:</t>
  </si>
  <si>
    <t>Strain Lumbar</t>
  </si>
  <si>
    <t>OR#:</t>
  </si>
  <si>
    <t>NAME:</t>
  </si>
  <si>
    <t>FEE:</t>
  </si>
  <si>
    <t>CLASS:</t>
  </si>
  <si>
    <t>AMT. PAID:</t>
  </si>
  <si>
    <t>PF:</t>
  </si>
  <si>
    <t>NO CHARGE</t>
  </si>
  <si>
    <t>CRUZ, Fernan</t>
  </si>
  <si>
    <t xml:space="preserve">Fracture 4th  Metacarpal </t>
  </si>
  <si>
    <t>SAN JOSE, Rosalinda</t>
  </si>
  <si>
    <t>PORCALLA, Melinda</t>
  </si>
  <si>
    <t>AVILA, Karla Marie</t>
  </si>
  <si>
    <t>Scoliosis Thoracic</t>
  </si>
  <si>
    <t>VALENCIA, Blas</t>
  </si>
  <si>
    <t xml:space="preserve">Arthritis ® Shoulder </t>
  </si>
  <si>
    <t>092090-52700</t>
  </si>
  <si>
    <t>LEE, Maita</t>
  </si>
  <si>
    <t>0922-6037853</t>
  </si>
  <si>
    <t>SANTOS, Stephen Gabriel</t>
  </si>
  <si>
    <t>Scoliosis Thoracic Mild</t>
  </si>
  <si>
    <t>09222-885916</t>
  </si>
  <si>
    <t>JUAN, Ma Aileen</t>
  </si>
  <si>
    <t>Sciatica</t>
  </si>
  <si>
    <t>09672-743947</t>
  </si>
  <si>
    <t>LOPEZ, Romeo</t>
  </si>
  <si>
    <t xml:space="preserve">Muscle Strain </t>
  </si>
  <si>
    <t>533- 46-78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</si>
</sst>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.00_);_(* \(#,##0.00\);_(* &quot;-&quot;??_);_(@_)"/>
    <numFmt numFmtId="165" formatCode="mmm\-d\-yy"/>
    <numFmt numFmtId="166" formatCode="mmm\-dd\-yy"/>
  </numFmts>
  <fonts count="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9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22">
    <xf numFmtId="0" fontId="0" fillId="0" borderId="0" xfId="0"/>
    <xf numFmtId="0" fontId="0" fillId="0" borderId="1" xfId="0" applyBorder="1"/>
    <xf numFmtId="2" fontId="0" fillId="0" borderId="1" xfId="0" applyNumberFormat="1" applyFont="1" applyBorder="1"/>
    <xf numFmtId="0" fontId="0" fillId="2" borderId="1" xfId="0" applyFill="1" applyBorder="1"/>
    <xf numFmtId="2" fontId="0" fillId="2" borderId="1" xfId="0" applyNumberFormat="1" applyFont="1" applyFill="1" applyBorder="1"/>
    <xf numFmtId="166" fontId="0" fillId="0" borderId="1" xfId="0" applyNumberFormat="1" applyFill="1" applyBorder="1"/>
    <xf numFmtId="0" fontId="1" fillId="3" borderId="0" xfId="0" applyFont="1" applyFill="1" applyBorder="1"/>
    <xf numFmtId="0" fontId="1" fillId="4" borderId="1" xfId="0" applyFont="1" applyFill="1" applyBorder="1"/>
    <xf numFmtId="2" fontId="1" fillId="4" borderId="1" xfId="0" applyNumberFormat="1" applyFont="1" applyFill="1" applyBorder="1"/>
    <xf numFmtId="0" fontId="1" fillId="4" borderId="0" xfId="0" applyFont="1" applyFill="1" applyBorder="1"/>
    <xf numFmtId="0" fontId="1" fillId="0" borderId="0" xfId="0" applyFont="1" applyFill="1" applyBorder="1"/>
    <xf numFmtId="165" fontId="1" fillId="0" borderId="0" xfId="0" applyNumberFormat="1" applyFont="1" applyFill="1" applyBorder="1"/>
    <xf numFmtId="2" fontId="1" fillId="0" borderId="0" xfId="0" applyNumberFormat="1" applyFont="1" applyFill="1" applyBorder="1"/>
    <xf numFmtId="165" fontId="0" fillId="0" borderId="0" xfId="0" applyNumberFormat="1" applyFill="1" applyBorder="1"/>
    <xf numFmtId="0" fontId="0" fillId="0" borderId="0" xfId="0" applyFill="1" applyBorder="1"/>
    <xf numFmtId="2" fontId="0" fillId="0" borderId="0" xfId="0" applyNumberFormat="1" applyFont="1" applyFill="1" applyBorder="1"/>
    <xf numFmtId="0" fontId="1" fillId="3" borderId="1" xfId="0" applyFont="1" applyFill="1" applyBorder="1"/>
    <xf numFmtId="2" fontId="1" fillId="3" borderId="1" xfId="0" applyNumberFormat="1" applyFont="1" applyFill="1" applyBorder="1"/>
    <xf numFmtId="165" fontId="1" fillId="4" borderId="0" xfId="0" applyNumberFormat="1" applyFont="1" applyFill="1" applyBorder="1"/>
    <xf numFmtId="2" fontId="1" fillId="4" borderId="0" xfId="0" applyNumberFormat="1" applyFont="1" applyFill="1" applyBorder="1"/>
    <xf numFmtId="166" fontId="1" fillId="4" borderId="1" xfId="0" applyNumberFormat="1" applyFont="1" applyFill="1" applyBorder="1"/>
    <xf numFmtId="166" fontId="1" fillId="3" borderId="1" xfId="0" applyNumberFormat="1" applyFont="1" applyFill="1" applyBorder="1"/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66FF66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5"/>
  <sheetViews>
    <sheetView tabSelected="1" zoomScale="115" zoomScaleNormal="115" workbookViewId="0">
      <selection activeCell="A2" sqref="A2"/>
    </sheetView>
  </sheetViews>
  <sheetFormatPr defaultRowHeight="15" x14ac:dyDescent="0.25"/>
  <cols>
    <col min="1" max="1" width="10" style="1" bestFit="1" customWidth="1"/>
    <col min="2" max="2" width="6.140625" style="1" customWidth="1"/>
    <col min="3" max="3" width="27.7109375" style="1" customWidth="1"/>
    <col min="4" max="4" width="8.5703125" style="1" customWidth="1"/>
    <col min="5" max="5" width="8.42578125" style="1" customWidth="1"/>
    <col min="6" max="6" width="33.5703125" style="1" customWidth="1"/>
    <col min="7" max="7" width="40.42578125" style="1" customWidth="1"/>
    <col min="8" max="8" width="17.42578125" style="1" customWidth="1"/>
    <col min="9" max="9" width="19.140625" style="1" customWidth="1"/>
    <col min="10" max="10" width="18.28515625" style="1" customWidth="1"/>
    <col min="11" max="11" width="13.140625" style="1" customWidth="1"/>
    <col min="12" max="12" width="18" style="1" customWidth="1"/>
    <col min="13" max="13" width="16.140625" style="1" customWidth="1"/>
    <col min="14" max="14" width="19" style="1" customWidth="1"/>
    <col min="15" max="15" width="23.7109375" style="1" customWidth="1"/>
    <col min="16" max="16" width="25.42578125" style="1" customWidth="1"/>
    <col min="17" max="17" width="12.42578125" style="1" customWidth="1"/>
    <col min="18" max="18" width="37.140625" style="1" customWidth="1"/>
    <col min="19" max="25" width="9.140625" style="1"/>
    <col min="26" max="26" width="20" style="1" customWidth="1"/>
    <col min="27" max="27" width="24" style="1" customWidth="1"/>
    <col min="28" max="28" width="29.5703125" style="1" customWidth="1"/>
    <col min="29" max="16384" width="9.140625" style="1"/>
  </cols>
  <sheetData>
    <row r="1" spans="1:28" s="3" customFormat="1" x14ac:dyDescent="0.25">
      <c r="A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4" t="s">
        <v>6</v>
      </c>
      <c r="I1" s="4" t="s">
        <v>7</v>
      </c>
      <c r="J1" s="4" t="s">
        <v>8</v>
      </c>
      <c r="K1" s="4" t="s">
        <v>38</v>
      </c>
      <c r="L1" s="3" t="s">
        <v>9</v>
      </c>
      <c r="M1" s="3" t="s">
        <v>10</v>
      </c>
      <c r="N1" s="3" t="s">
        <v>11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  <c r="X1" s="3" t="s">
        <v>19</v>
      </c>
      <c r="AA1" s="3" t="s">
        <v>20</v>
      </c>
      <c r="AB1" s="3" t="s">
        <v>21</v>
      </c>
    </row>
    <row r="2" spans="1:28" x14ac:dyDescent="0.25">
      <c r="A2" s="5"/>
      <c r="H2" s="2"/>
      <c r="I2" s="2"/>
      <c r="J2" s="2"/>
      <c r="K2" s="2"/>
    </row>
    <row r="3" spans="1:28" x14ac:dyDescent="0.25">
      <c r="A3" s="5"/>
      <c r="H3" s="2"/>
      <c r="I3" s="2"/>
      <c r="J3" s="2"/>
      <c r="K3" s="2"/>
    </row>
    <row r="4" spans="1:28" x14ac:dyDescent="0.25">
      <c r="A4" s="5"/>
      <c r="H4" s="2"/>
      <c r="I4" s="2"/>
      <c r="J4" s="2"/>
      <c r="K4" s="2"/>
    </row>
    <row r="5" spans="1:28" x14ac:dyDescent="0.25">
      <c r="A5" s="5"/>
    </row>
  </sheetData>
  <autoFilter ref="A1:AB2"/>
  <sortState ref="A30:AB38">
    <sortCondition ref="C30"/>
  </sortState>
  <pageMargins left="0.7" right="0.7" top="0.75" bottom="0.75" header="0.3" footer="0.3"/>
  <pageSetup orientation="landscape" horizontalDpi="4294967294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I14"/>
  <sheetViews>
    <sheetView workbookViewId="0">
      <selection activeCell="A9" sqref="A9:AI9"/>
    </sheetView>
  </sheetViews>
  <sheetFormatPr defaultRowHeight="15" x14ac:dyDescent="0.25"/>
  <sheetData>
    <row r="1" spans="1:35" x14ac:dyDescent="0.25">
      <c r="A1" s="5">
        <v>43718</v>
      </c>
      <c r="B1" s="1">
        <v>28</v>
      </c>
      <c r="C1" s="1" t="s">
        <v>53</v>
      </c>
      <c r="D1" s="1">
        <v>20</v>
      </c>
      <c r="E1" s="1" t="s">
        <v>22</v>
      </c>
      <c r="F1" s="1"/>
      <c r="G1" s="1" t="s">
        <v>54</v>
      </c>
      <c r="H1" s="2">
        <v>300</v>
      </c>
      <c r="I1" s="2" t="s">
        <v>33</v>
      </c>
      <c r="J1" s="2">
        <v>300</v>
      </c>
      <c r="K1" s="2">
        <v>165.375</v>
      </c>
      <c r="L1" s="1"/>
      <c r="M1" s="1"/>
      <c r="N1" s="1"/>
      <c r="O1" s="1"/>
      <c r="P1" s="1" t="s">
        <v>37</v>
      </c>
      <c r="Q1" s="1" t="s">
        <v>34</v>
      </c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</row>
    <row r="2" spans="1:35" x14ac:dyDescent="0.25">
      <c r="A2" s="5">
        <v>43718</v>
      </c>
      <c r="B2" s="1">
        <v>29</v>
      </c>
      <c r="C2" s="1" t="s">
        <v>49</v>
      </c>
      <c r="D2" s="1">
        <v>32</v>
      </c>
      <c r="E2" s="1" t="s">
        <v>25</v>
      </c>
      <c r="F2" s="1"/>
      <c r="G2" s="1" t="s">
        <v>50</v>
      </c>
      <c r="H2" s="2">
        <v>400</v>
      </c>
      <c r="I2" s="2" t="s">
        <v>28</v>
      </c>
      <c r="J2" s="2">
        <v>400</v>
      </c>
      <c r="K2" s="2">
        <v>220.49999999999994</v>
      </c>
      <c r="L2" s="1"/>
      <c r="M2" s="1"/>
      <c r="N2" s="1"/>
      <c r="O2" s="1"/>
      <c r="P2" s="1" t="s">
        <v>36</v>
      </c>
      <c r="Q2" s="1" t="s">
        <v>34</v>
      </c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</row>
    <row r="3" spans="1:35" x14ac:dyDescent="0.25">
      <c r="A3" s="5">
        <v>43718</v>
      </c>
      <c r="B3" s="1">
        <v>30</v>
      </c>
      <c r="C3" s="1" t="s">
        <v>63</v>
      </c>
      <c r="D3" s="1">
        <v>39</v>
      </c>
      <c r="E3" s="1" t="s">
        <v>22</v>
      </c>
      <c r="F3" s="1"/>
      <c r="G3" s="1" t="s">
        <v>64</v>
      </c>
      <c r="H3" s="2">
        <v>600</v>
      </c>
      <c r="I3" s="2" t="s">
        <v>35</v>
      </c>
      <c r="J3" s="2">
        <v>540</v>
      </c>
      <c r="K3" s="2">
        <v>303.74999999999994</v>
      </c>
      <c r="L3" s="1"/>
      <c r="M3" s="1"/>
      <c r="N3" s="1">
        <v>211716</v>
      </c>
      <c r="O3" s="1">
        <v>326201</v>
      </c>
      <c r="P3" s="1" t="s">
        <v>37</v>
      </c>
      <c r="Q3" s="1" t="s">
        <v>29</v>
      </c>
      <c r="R3" s="1" t="s">
        <v>32</v>
      </c>
      <c r="S3" s="1"/>
      <c r="T3" s="1"/>
      <c r="U3" s="1"/>
      <c r="V3" s="1"/>
      <c r="W3" s="1"/>
      <c r="X3" s="1"/>
      <c r="Y3" s="1"/>
      <c r="Z3" s="1"/>
      <c r="AA3" s="1"/>
      <c r="AB3" s="1" t="s">
        <v>65</v>
      </c>
      <c r="AC3" s="1"/>
      <c r="AD3" s="1"/>
      <c r="AE3" s="1"/>
      <c r="AF3" s="1"/>
      <c r="AG3" s="1"/>
      <c r="AH3" s="1"/>
      <c r="AI3" s="1"/>
    </row>
    <row r="4" spans="1:35" x14ac:dyDescent="0.25">
      <c r="A4" s="5">
        <v>43718</v>
      </c>
      <c r="B4" s="1">
        <v>31</v>
      </c>
      <c r="C4" s="1" t="s">
        <v>58</v>
      </c>
      <c r="D4" s="1">
        <v>63</v>
      </c>
      <c r="E4" s="1" t="s">
        <v>22</v>
      </c>
      <c r="F4" s="1"/>
      <c r="G4" s="1" t="s">
        <v>39</v>
      </c>
      <c r="H4" s="2">
        <v>600</v>
      </c>
      <c r="I4" s="2" t="s">
        <v>26</v>
      </c>
      <c r="J4" s="2">
        <v>428.57339999999999</v>
      </c>
      <c r="K4" s="2">
        <v>270.00124199999999</v>
      </c>
      <c r="L4" s="1"/>
      <c r="M4" s="1"/>
      <c r="N4" s="1">
        <v>211718</v>
      </c>
      <c r="O4" s="1">
        <v>326198</v>
      </c>
      <c r="P4" s="1" t="s">
        <v>37</v>
      </c>
      <c r="Q4" s="1" t="s">
        <v>29</v>
      </c>
      <c r="R4" s="1" t="s">
        <v>32</v>
      </c>
      <c r="S4" s="1"/>
      <c r="T4" s="1"/>
      <c r="U4" s="1"/>
      <c r="V4" s="1"/>
      <c r="W4" s="1"/>
      <c r="X4" s="1"/>
      <c r="Y4" s="1"/>
      <c r="Z4" s="1"/>
      <c r="AA4" s="1"/>
      <c r="AB4" s="1" t="s">
        <v>57</v>
      </c>
      <c r="AC4" s="1"/>
      <c r="AD4" s="1"/>
      <c r="AE4" s="1"/>
      <c r="AF4" s="1"/>
      <c r="AG4" s="1"/>
      <c r="AH4" s="1"/>
      <c r="AI4" s="1"/>
    </row>
    <row r="5" spans="1:35" x14ac:dyDescent="0.25">
      <c r="A5" s="5">
        <v>43718</v>
      </c>
      <c r="B5" s="1">
        <v>32</v>
      </c>
      <c r="C5" s="1" t="s">
        <v>66</v>
      </c>
      <c r="D5" s="1">
        <v>52</v>
      </c>
      <c r="E5" s="1" t="s">
        <v>25</v>
      </c>
      <c r="F5" s="1"/>
      <c r="G5" s="1" t="s">
        <v>67</v>
      </c>
      <c r="H5" s="2">
        <v>600</v>
      </c>
      <c r="I5" s="2" t="s">
        <v>24</v>
      </c>
      <c r="J5" s="2">
        <v>600</v>
      </c>
      <c r="K5" s="2">
        <v>337.49999999999994</v>
      </c>
      <c r="L5" s="1"/>
      <c r="M5" s="1"/>
      <c r="N5" s="1">
        <v>211725</v>
      </c>
      <c r="O5" s="1">
        <v>326216</v>
      </c>
      <c r="P5" s="1" t="s">
        <v>37</v>
      </c>
      <c r="Q5" s="1" t="s">
        <v>29</v>
      </c>
      <c r="R5" s="1" t="s">
        <v>31</v>
      </c>
      <c r="S5" s="1"/>
      <c r="T5" s="1"/>
      <c r="U5" s="1"/>
      <c r="V5" s="1"/>
      <c r="W5" s="1"/>
      <c r="X5" s="1"/>
      <c r="Y5" s="1"/>
      <c r="Z5" s="1"/>
      <c r="AA5" s="1"/>
      <c r="AB5" s="1" t="s">
        <v>68</v>
      </c>
      <c r="AC5" s="1"/>
      <c r="AD5" s="1"/>
      <c r="AE5" s="1"/>
      <c r="AF5" s="1"/>
      <c r="AG5" s="1"/>
      <c r="AH5" s="1"/>
      <c r="AI5" s="1"/>
    </row>
    <row r="6" spans="1:35" x14ac:dyDescent="0.25">
      <c r="A6" s="5">
        <v>43718</v>
      </c>
      <c r="B6" s="1">
        <v>33</v>
      </c>
      <c r="C6" s="1" t="s">
        <v>52</v>
      </c>
      <c r="D6" s="1">
        <v>50</v>
      </c>
      <c r="E6" s="1" t="s">
        <v>22</v>
      </c>
      <c r="F6" s="1"/>
      <c r="G6" s="1" t="s">
        <v>41</v>
      </c>
      <c r="H6" s="2">
        <v>400</v>
      </c>
      <c r="I6" s="2" t="s">
        <v>23</v>
      </c>
      <c r="J6" s="2">
        <v>400</v>
      </c>
      <c r="K6" s="2">
        <v>220.49999999999994</v>
      </c>
      <c r="L6" s="1"/>
      <c r="M6" s="1"/>
      <c r="N6" s="1"/>
      <c r="O6" s="1"/>
      <c r="P6" s="1" t="s">
        <v>37</v>
      </c>
      <c r="Q6" s="1" t="s">
        <v>29</v>
      </c>
      <c r="R6" s="1" t="s">
        <v>30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</row>
    <row r="7" spans="1:35" x14ac:dyDescent="0.25">
      <c r="A7" s="5">
        <v>43718</v>
      </c>
      <c r="B7" s="1">
        <v>34</v>
      </c>
      <c r="C7" s="1" t="s">
        <v>51</v>
      </c>
      <c r="D7" s="1">
        <v>41</v>
      </c>
      <c r="E7" s="1" t="s">
        <v>22</v>
      </c>
      <c r="F7" s="1"/>
      <c r="G7" s="1" t="s">
        <v>27</v>
      </c>
      <c r="H7" s="2">
        <v>400</v>
      </c>
      <c r="I7" s="2" t="s">
        <v>23</v>
      </c>
      <c r="J7" s="2">
        <v>400</v>
      </c>
      <c r="K7" s="2">
        <v>220.49999999999994</v>
      </c>
      <c r="L7" s="1"/>
      <c r="M7" s="1"/>
      <c r="N7" s="1"/>
      <c r="O7" s="1"/>
      <c r="P7" s="1" t="s">
        <v>37</v>
      </c>
      <c r="Q7" s="1" t="s">
        <v>34</v>
      </c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</row>
    <row r="8" spans="1:35" x14ac:dyDescent="0.25">
      <c r="A8" s="5">
        <v>43718</v>
      </c>
      <c r="B8" s="1">
        <v>35</v>
      </c>
      <c r="C8" s="1" t="s">
        <v>60</v>
      </c>
      <c r="D8" s="1">
        <v>13</v>
      </c>
      <c r="E8" s="1" t="s">
        <v>25</v>
      </c>
      <c r="F8" s="1"/>
      <c r="G8" s="1" t="s">
        <v>61</v>
      </c>
      <c r="H8" s="2">
        <v>600</v>
      </c>
      <c r="I8" s="2" t="s">
        <v>24</v>
      </c>
      <c r="J8" s="2">
        <v>600</v>
      </c>
      <c r="K8" s="2">
        <v>337.49999999999994</v>
      </c>
      <c r="L8" s="1"/>
      <c r="M8" s="1"/>
      <c r="N8" s="1">
        <v>211721</v>
      </c>
      <c r="O8" s="1">
        <v>326207</v>
      </c>
      <c r="P8" s="1" t="s">
        <v>37</v>
      </c>
      <c r="Q8" s="1" t="s">
        <v>29</v>
      </c>
      <c r="R8" s="1" t="s">
        <v>32</v>
      </c>
      <c r="S8" s="1"/>
      <c r="T8" s="1"/>
      <c r="U8" s="1"/>
      <c r="V8" s="1"/>
      <c r="W8" s="1"/>
      <c r="X8" s="1"/>
      <c r="Y8" s="1"/>
      <c r="Z8" s="1"/>
      <c r="AA8" s="1"/>
      <c r="AB8" s="1" t="s">
        <v>62</v>
      </c>
      <c r="AC8" s="1"/>
      <c r="AD8" s="1"/>
      <c r="AE8" s="1"/>
      <c r="AF8" s="1"/>
      <c r="AG8" s="1"/>
      <c r="AH8" s="1"/>
      <c r="AI8" s="1"/>
    </row>
    <row r="9" spans="1:35" x14ac:dyDescent="0.25">
      <c r="A9" s="5">
        <v>43718</v>
      </c>
      <c r="B9" s="1">
        <v>36</v>
      </c>
      <c r="C9" s="1" t="s">
        <v>55</v>
      </c>
      <c r="D9" s="1">
        <v>68</v>
      </c>
      <c r="E9" s="1" t="s">
        <v>25</v>
      </c>
      <c r="F9" s="1"/>
      <c r="G9" s="1" t="s">
        <v>56</v>
      </c>
      <c r="H9" s="2">
        <v>0</v>
      </c>
      <c r="I9" s="2" t="s">
        <v>48</v>
      </c>
      <c r="J9" s="2">
        <v>0</v>
      </c>
      <c r="K9" s="2">
        <v>0</v>
      </c>
      <c r="L9" s="1"/>
      <c r="M9" s="1"/>
      <c r="N9" s="1"/>
      <c r="O9" s="1"/>
      <c r="P9" s="1" t="s">
        <v>37</v>
      </c>
      <c r="Q9" s="1" t="s">
        <v>29</v>
      </c>
      <c r="R9" s="1" t="s">
        <v>32</v>
      </c>
      <c r="S9" s="1"/>
      <c r="T9" s="1"/>
      <c r="U9" s="1"/>
      <c r="V9" s="1"/>
      <c r="W9" s="1"/>
      <c r="X9" s="1"/>
      <c r="Y9" s="1"/>
      <c r="Z9" s="1"/>
      <c r="AA9" s="1"/>
      <c r="AB9" s="1" t="s">
        <v>59</v>
      </c>
      <c r="AC9" s="1"/>
      <c r="AD9" s="1"/>
      <c r="AE9" s="1"/>
      <c r="AF9" s="1"/>
      <c r="AG9" s="1"/>
      <c r="AH9" s="1"/>
      <c r="AI9" s="1"/>
    </row>
    <row r="10" spans="1:35" x14ac:dyDescent="0.25">
      <c r="A10" s="13"/>
      <c r="B10" s="14"/>
      <c r="C10" s="14"/>
      <c r="D10" s="14"/>
      <c r="E10" s="14"/>
      <c r="F10" s="14"/>
      <c r="G10" s="14"/>
      <c r="H10" s="15"/>
      <c r="I10" s="15"/>
      <c r="J10" s="15"/>
      <c r="K10" s="15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</row>
    <row r="11" spans="1:35" x14ac:dyDescent="0.25">
      <c r="A11" s="13"/>
      <c r="B11" s="14"/>
      <c r="C11" s="14"/>
      <c r="D11" s="14"/>
      <c r="E11" s="14"/>
      <c r="F11" s="14"/>
      <c r="G11" s="14"/>
      <c r="H11" s="15"/>
      <c r="I11" s="15"/>
      <c r="J11" s="15"/>
      <c r="K11" s="15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</row>
    <row r="12" spans="1:35" x14ac:dyDescent="0.25">
      <c r="A12" s="13"/>
      <c r="B12" s="14"/>
      <c r="C12" s="14"/>
      <c r="D12" s="14"/>
      <c r="E12" s="14"/>
      <c r="F12" s="14"/>
      <c r="G12" s="14"/>
      <c r="H12" s="15"/>
      <c r="I12" s="15"/>
      <c r="J12" s="15"/>
      <c r="K12" s="15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</row>
    <row r="13" spans="1:35" x14ac:dyDescent="0.25">
      <c r="A13" s="13"/>
      <c r="B13" s="14"/>
      <c r="C13" s="14"/>
      <c r="D13" s="14"/>
      <c r="E13" s="14"/>
      <c r="F13" s="14"/>
      <c r="G13" s="14"/>
      <c r="H13" s="15"/>
      <c r="I13" s="15"/>
      <c r="J13" s="15"/>
      <c r="K13" s="15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</row>
    <row r="14" spans="1:35" x14ac:dyDescent="0.25">
      <c r="A14" s="13"/>
      <c r="B14" s="14"/>
      <c r="C14" s="14"/>
      <c r="D14" s="14"/>
      <c r="E14" s="14"/>
      <c r="F14" s="14"/>
      <c r="G14" s="14"/>
      <c r="H14" s="15"/>
      <c r="I14" s="15"/>
      <c r="J14" s="15"/>
      <c r="K14" s="15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</row>
  </sheetData>
  <sortState ref="A1:AI14">
    <sortCondition ref="C1"/>
  </sortState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11"/>
  <sheetViews>
    <sheetView zoomScaleNormal="100" workbookViewId="0">
      <selection activeCell="G11" sqref="G11"/>
    </sheetView>
  </sheetViews>
  <sheetFormatPr defaultRowHeight="15" x14ac:dyDescent="0.25"/>
  <cols>
    <col min="1" max="1" width="13.85546875" bestFit="1" customWidth="1"/>
    <col min="2" max="2" width="2.85546875" bestFit="1" customWidth="1"/>
    <col min="3" max="3" width="10.7109375" bestFit="1" customWidth="1"/>
    <col min="4" max="4" width="32.85546875" bestFit="1" customWidth="1"/>
    <col min="5" max="5" width="9.85546875" bestFit="1" customWidth="1"/>
    <col min="6" max="6" width="9.5703125" bestFit="1" customWidth="1"/>
    <col min="7" max="7" width="15.28515625" bestFit="1" customWidth="1"/>
    <col min="8" max="8" width="11.42578125" bestFit="1" customWidth="1"/>
  </cols>
  <sheetData>
    <row r="1" spans="1:8" ht="21" x14ac:dyDescent="0.35">
      <c r="A1" s="6" t="s">
        <v>40</v>
      </c>
      <c r="B1" s="6"/>
      <c r="C1" s="6" t="s">
        <v>42</v>
      </c>
      <c r="D1" s="6" t="s">
        <v>43</v>
      </c>
      <c r="E1" s="6" t="s">
        <v>44</v>
      </c>
      <c r="F1" s="6" t="s">
        <v>45</v>
      </c>
      <c r="G1" s="6" t="s">
        <v>46</v>
      </c>
      <c r="H1" s="6" t="s">
        <v>47</v>
      </c>
    </row>
    <row r="2" spans="1:8" ht="21" x14ac:dyDescent="0.35">
      <c r="A2" s="20">
        <v>43718</v>
      </c>
      <c r="B2" s="9">
        <v>1</v>
      </c>
      <c r="C2" s="7">
        <v>326201</v>
      </c>
      <c r="D2" s="7" t="s">
        <v>63</v>
      </c>
      <c r="E2" s="8">
        <v>600</v>
      </c>
      <c r="F2" s="8" t="s">
        <v>35</v>
      </c>
      <c r="G2" s="8">
        <v>540</v>
      </c>
      <c r="H2" s="8">
        <v>303.74999999999994</v>
      </c>
    </row>
    <row r="3" spans="1:8" ht="21" x14ac:dyDescent="0.35">
      <c r="A3" s="21">
        <v>43718</v>
      </c>
      <c r="B3" s="6">
        <v>2</v>
      </c>
      <c r="C3" s="16">
        <v>326198</v>
      </c>
      <c r="D3" s="16" t="s">
        <v>58</v>
      </c>
      <c r="E3" s="17">
        <v>600</v>
      </c>
      <c r="F3" s="17" t="s">
        <v>26</v>
      </c>
      <c r="G3" s="17">
        <v>428.57339999999999</v>
      </c>
      <c r="H3" s="17">
        <v>270.00124199999999</v>
      </c>
    </row>
    <row r="4" spans="1:8" ht="21" x14ac:dyDescent="0.35">
      <c r="A4" s="20">
        <v>43718</v>
      </c>
      <c r="B4" s="9">
        <v>3</v>
      </c>
      <c r="C4" s="7">
        <v>326216</v>
      </c>
      <c r="D4" s="7" t="s">
        <v>66</v>
      </c>
      <c r="E4" s="8">
        <v>600</v>
      </c>
      <c r="F4" s="8" t="s">
        <v>24</v>
      </c>
      <c r="G4" s="8">
        <v>600</v>
      </c>
      <c r="H4" s="8">
        <v>337.49999999999994</v>
      </c>
    </row>
    <row r="5" spans="1:8" ht="21" x14ac:dyDescent="0.35">
      <c r="A5" s="21">
        <v>43718</v>
      </c>
      <c r="B5" s="6">
        <v>4</v>
      </c>
      <c r="C5" s="16">
        <v>326207</v>
      </c>
      <c r="D5" s="16" t="s">
        <v>60</v>
      </c>
      <c r="E5" s="17">
        <v>600</v>
      </c>
      <c r="F5" s="17" t="s">
        <v>24</v>
      </c>
      <c r="G5" s="17">
        <v>600</v>
      </c>
      <c r="H5" s="17">
        <v>337.49999999999994</v>
      </c>
    </row>
    <row r="6" spans="1:8" ht="21" x14ac:dyDescent="0.35">
      <c r="A6" s="18"/>
      <c r="B6" s="9"/>
      <c r="C6" s="9"/>
      <c r="D6" s="9"/>
      <c r="E6" s="19"/>
      <c r="F6" s="19"/>
      <c r="G6" s="19">
        <f>SUM(G2:G5)</f>
        <v>2168.5734000000002</v>
      </c>
      <c r="H6" s="19">
        <f>SUM(H2:H5)</f>
        <v>1248.7512419999998</v>
      </c>
    </row>
    <row r="7" spans="1:8" ht="21" x14ac:dyDescent="0.35">
      <c r="A7" s="11"/>
      <c r="B7" s="10"/>
      <c r="C7" s="10"/>
      <c r="D7" s="10"/>
      <c r="E7" s="12"/>
      <c r="F7" s="12"/>
      <c r="G7" s="12"/>
      <c r="H7" s="12"/>
    </row>
    <row r="8" spans="1:8" ht="21" x14ac:dyDescent="0.35">
      <c r="A8" s="11"/>
      <c r="B8" s="10"/>
      <c r="C8" s="10"/>
      <c r="D8" s="10"/>
      <c r="E8" s="12"/>
      <c r="F8" s="12"/>
      <c r="G8" s="12"/>
      <c r="H8" s="12"/>
    </row>
    <row r="9" spans="1:8" ht="21" x14ac:dyDescent="0.35">
      <c r="A9" s="11"/>
      <c r="B9" s="10"/>
      <c r="C9" s="10"/>
      <c r="D9" s="10"/>
      <c r="E9" s="12"/>
      <c r="F9" s="12"/>
      <c r="G9" s="12"/>
      <c r="H9" s="12"/>
    </row>
    <row r="10" spans="1:8" ht="21" x14ac:dyDescent="0.35">
      <c r="A10" s="11"/>
      <c r="B10" s="10"/>
      <c r="C10" s="10"/>
      <c r="D10" s="10"/>
      <c r="E10" s="12"/>
      <c r="F10" s="12"/>
      <c r="G10" s="12"/>
      <c r="H10" s="12"/>
    </row>
    <row r="11" spans="1:8" ht="21" x14ac:dyDescent="0.35">
      <c r="A11" s="10"/>
      <c r="B11" s="10"/>
      <c r="C11" s="10"/>
      <c r="D11" s="10"/>
      <c r="E11" s="10"/>
      <c r="F11" s="10"/>
      <c r="G11" s="12"/>
      <c r="H11" s="1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201901</vt:lpstr>
      <vt:lpstr>Report_Today_Input</vt:lpstr>
      <vt:lpstr>Report_Today_Output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HP</cp:lastModifiedBy>
  <cp:lastPrinted>2018-02-24T10:31:07Z</cp:lastPrinted>
  <dcterms:created xsi:type="dcterms:W3CDTF">2017-01-03T01:51:38Z</dcterms:created>
  <dcterms:modified xsi:type="dcterms:W3CDTF">2019-10-20T07:14:29Z</dcterms:modified>
</cp:coreProperties>
</file>